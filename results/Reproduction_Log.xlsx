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21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TBD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reproduction (run 1/3)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Execution Accuracy (EX)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beams=4, beam 0 kept. OUTSIDE tolerance — cause: value retriever (matched contents) missing from prompt.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reproduction (run 2/3)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Execution Accuracy (EX)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TBD (Colab default)</t>
        </is>
      </c>
      <c r="O8" s="5" t="inlineStr">
        <is>
          <t>TBD (Colab default)</t>
        </is>
      </c>
      <c r="P8" s="7" t="inlineStr">
        <is>
          <t>Full CodeS prompt (schema+types+PK+representative values+matched contents+question, BOS); beams=4, beam 0 kept. 741/1034; 93.5% executable.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reproduction (run 3/3)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Execution Accuracy (EX)</t>
        </is>
      </c>
      <c r="H9" s="5" t="n">
        <v>73.8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TBD (Colab default)</t>
        </is>
      </c>
      <c r="O9" s="5" t="inlineStr">
        <is>
          <t>TBD (Colab default)</t>
        </is>
      </c>
      <c r="P9" s="7" t="inlineStr">
        <is>
          <t>Full prompt + authors' selection rule (4 beams, first passing EXPLAIN QUERY PLAN) + post_process. 763/1034; 97.3% executable. Remaining deviations: no SIC schema filter; distinct-scan instead of Lucene BM25; newer torch/transformers.</t>
        </is>
      </c>
    </row>
    <row r="10" ht="30" customHeight="1">
      <c r="A10" s="5" t="inlineStr">
        <is>
          <t>T2-004</t>
        </is>
      </c>
      <c r="B10" s="5" t="inlineStr">
        <is>
          <t>TBD</t>
        </is>
      </c>
      <c r="C10" s="5" t="inlineStr">
        <is>
          <t>Tier 2 — reproduction (3B row)</t>
        </is>
      </c>
      <c r="D10" s="5" t="inlineStr">
        <is>
          <t>seeklhy/codes-3b-spider</t>
        </is>
      </c>
      <c r="E10" s="5" t="inlineStr">
        <is>
          <t>Spider dev (1034)</t>
        </is>
      </c>
      <c r="F10" s="5" t="n">
        <v>42</v>
      </c>
      <c r="G10" s="5" t="inlineStr">
        <is>
          <t>Execution Accuracy (EX)</t>
        </is>
      </c>
      <c r="H10" s="5" t="n"/>
      <c r="I10" s="5" t="n">
        <v>83.40000000000001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/>
      <c r="M10" s="5" t="inlineStr">
        <is>
          <t>Tesla T4 (Colab, fp16)</t>
        </is>
      </c>
      <c r="N10" s="5" t="n"/>
      <c r="O10" s="5" t="n"/>
      <c r="P10" s="7" t="inlineStr">
        <is>
          <t>Planned. Same harness as T2-003.</t>
        </is>
      </c>
    </row>
    <row r="11" ht="30" customHeight="1">
      <c r="A11" s="5" t="inlineStr">
        <is>
          <t>AB-001</t>
        </is>
      </c>
      <c r="B11" s="5" t="inlineStr">
        <is>
          <t>2026-08-26</t>
        </is>
      </c>
      <c r="C11" s="5" t="inlineStr">
        <is>
          <t>Week 7 — ablation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— value retriever DISABLED</t>
        </is>
      </c>
      <c r="H11" s="5" t="n">
        <v>64.8</v>
      </c>
      <c r="I11" s="5" t="n">
        <v>71.7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6538</v>
      </c>
      <c r="M11" s="5" t="inlineStr">
        <is>
          <t>Apple M4 (MPS)</t>
        </is>
      </c>
      <c r="N11" s="5" t="inlineStr">
        <is>
          <t>2.13.0</t>
        </is>
      </c>
      <c r="O11" s="5" t="inlineStr">
        <is>
          <t>5.15.0</t>
        </is>
      </c>
      <c r="P11" s="7">
        <f> T2-001 vs T2-002: removing matched contents costs 6.9 points (paper value column = our full-prompt baseline, not the paper).</f>
        <v/>
      </c>
    </row>
    <row r="12">
      <c r="A12" t="inlineStr">
        <is>
          <t>AB-002</t>
        </is>
      </c>
      <c r="B12" t="inlineStr">
        <is>
          <t>2026-09-13</t>
        </is>
      </c>
      <c r="C12" t="inlineStr">
        <is>
          <t>Week 7 — ablation</t>
        </is>
      </c>
      <c r="D12" t="inlineStr">
        <is>
          <t>seeklhy/codes-1b-spider</t>
        </is>
      </c>
      <c r="E12" t="inlineStr">
        <is>
          <t>Spider dev (1034)</t>
        </is>
      </c>
      <c r="F12" t="n">
        <v>42</v>
      </c>
      <c r="G12" t="inlineStr">
        <is>
          <t>EX — candidate selection DISABLED</t>
        </is>
      </c>
      <c r="H12" t="n">
        <v>71.7</v>
      </c>
      <c r="I12" t="n">
        <v>73.8</v>
      </c>
      <c r="J12">
        <f>IF(AND(ISNUMBER(H12),ISNUMBER(I12),I12&lt;&gt;0),(H12-I12)/I12*100,"")</f>
        <v/>
      </c>
      <c r="K12">
        <f>IF(ISNUMBER(J12),IF(ABS(J12)&lt;=10,"YES","NO — document cause"),"")</f>
        <v/>
      </c>
      <c r="L12" t="n">
        <v>2211</v>
      </c>
      <c r="M12" t="inlineStr">
        <is>
          <t>Tesla T4 (Colab)</t>
        </is>
      </c>
      <c r="N12" t="inlineStr">
        <is>
          <t>TBD</t>
        </is>
      </c>
      <c r="O12" t="inlineStr">
        <is>
          <t>TBD</t>
        </is>
      </c>
      <c r="P12">
        <f> T2-002 vs T2-003: keeping beam 0 instead of first-executable candidate costs 2.1 points (baseline = T2-003).</f>
        <v/>
      </c>
    </row>
    <row r="13">
      <c r="A13" s="8" t="inlineStr">
        <is>
          <t>Mean of the three Tier-2 EX runs:</t>
        </is>
      </c>
      <c r="H13" s="9">
        <f>IFERROR(AVERAGE(H7:H9),"")</f>
        <v/>
      </c>
    </row>
    <row r="14">
      <c r="A14" s="8" t="inlineStr">
        <is>
          <t>Standard deviation:</t>
        </is>
      </c>
      <c r="H14" s="9">
        <f>IFERROR(STDEV(H7:H9),"")</f>
        <v/>
      </c>
    </row>
    <row r="16">
      <c r="A16" s="10" t="inlineStr">
        <is>
          <t>Reminder — "reproduction complete" means:</t>
        </is>
      </c>
    </row>
    <row r="17">
      <c r="A17" s="11" t="inlineStr">
        <is>
          <t>• Metrics land within ±5–10% of the published values (ML/AI tolerance per the SOP), OR</t>
        </is>
      </c>
    </row>
    <row r="18">
      <c r="A18" s="11" t="inlineStr">
        <is>
          <t>• The deviation is documented with a stated cause (different GPU, precision, library versions, batch size, dataset split).</t>
        </is>
      </c>
    </row>
    <row r="19">
      <c r="A19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T2-002/003;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Colab default (TBD)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2.13.0 (local) / Colab default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5.15.0 (local) / Colab default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/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2026-08-14)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(T2-001/002/003)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v1 drafted; update pending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2"/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2026-09-13T18:21:15Z</dcterms:modified>
</cp:coreProperties>
</file>