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duction Log" sheetId="1" state="visible" r:id="rId1"/>
    <sheet xmlns:r="http://schemas.openxmlformats.org/officeDocument/2006/relationships" name="Environment" sheetId="2" state="visible" r:id="rId2"/>
    <sheet xmlns:r="http://schemas.openxmlformats.org/officeDocument/2006/relationships" name="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sz val="10"/>
    </font>
    <font>
      <b val="1"/>
      <sz val="10"/>
    </font>
    <font>
      <b val="1"/>
      <color rgb="001F3864"/>
      <sz val="10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2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4" fillId="2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18" customWidth="1" min="5" max="5"/>
    <col width="8" customWidth="1" min="6" max="6"/>
    <col width="26" customWidth="1" min="7" max="7"/>
    <col width="11" customWidth="1" min="8" max="8"/>
    <col width="12" customWidth="1" min="9" max="9"/>
    <col width="10" customWidth="1" min="10" max="10"/>
    <col width="13" customWidth="1" min="11" max="11"/>
    <col width="12" customWidth="1" min="12" max="12"/>
    <col width="18" customWidth="1" min="13" max="13"/>
    <col width="10" customWidth="1" min="14" max="14"/>
    <col width="13" customWidth="1" min="15" max="15"/>
    <col width="46" customWidth="1" min="16" max="16"/>
  </cols>
  <sheetData>
    <row r="1">
      <c r="A1" s="1" t="inlineStr">
        <is>
          <t>QueryGenie — Reproduction Log</t>
        </is>
      </c>
    </row>
    <row r="2">
      <c r="A2" s="2" t="inlineStr">
        <is>
          <t>Team 21 · Anchor paper: CodeS (SIGMOD 2024, arXiv:2402.16347) · Benchmark: Spider dev (Hugging Face)</t>
        </is>
      </c>
    </row>
    <row r="3">
      <c r="A3" s="3" t="inlineStr">
        <is>
          <t>SOP requirement (Week 5, 20%): run the original code three times and record metrics, runtime, random seeds and hardware specification.</t>
        </is>
      </c>
    </row>
    <row r="5" ht="30" customHeight="1">
      <c r="A5" s="4" t="inlineStr">
        <is>
          <t>Run ID</t>
        </is>
      </c>
      <c r="B5" s="4" t="inlineStr">
        <is>
          <t>Date</t>
        </is>
      </c>
      <c r="C5" s="4" t="inlineStr">
        <is>
          <t>Tier / Stage</t>
        </is>
      </c>
      <c r="D5" s="4" t="inlineStr">
        <is>
          <t>Model</t>
        </is>
      </c>
      <c r="E5" s="4" t="inlineStr">
        <is>
          <t>Dataset / Split</t>
        </is>
      </c>
      <c r="F5" s="4" t="inlineStr">
        <is>
          <t>Seed</t>
        </is>
      </c>
      <c r="G5" s="4" t="inlineStr">
        <is>
          <t>Metric</t>
        </is>
      </c>
      <c r="H5" s="4" t="inlineStr">
        <is>
          <t>Our Value</t>
        </is>
      </c>
      <c r="I5" s="4" t="inlineStr">
        <is>
          <t>Paper Value</t>
        </is>
      </c>
      <c r="J5" s="4" t="inlineStr">
        <is>
          <t>Diff %</t>
        </is>
      </c>
      <c r="K5" s="4" t="inlineStr">
        <is>
          <t>Within ±10%?</t>
        </is>
      </c>
      <c r="L5" s="4" t="inlineStr">
        <is>
          <t>Runtime (s)</t>
        </is>
      </c>
      <c r="M5" s="4" t="inlineStr">
        <is>
          <t>GPU</t>
        </is>
      </c>
      <c r="N5" s="4" t="inlineStr">
        <is>
          <t>torch</t>
        </is>
      </c>
      <c r="O5" s="4" t="inlineStr">
        <is>
          <t>transformers</t>
        </is>
      </c>
      <c r="P5" s="4" t="inlineStr">
        <is>
          <t>Notes / Deviations</t>
        </is>
      </c>
    </row>
    <row r="6" ht="30" customHeight="1">
      <c r="A6" s="5" t="inlineStr">
        <is>
          <t>T1-001</t>
        </is>
      </c>
      <c r="B6" s="5" t="inlineStr">
        <is>
          <t>2026-08-14</t>
        </is>
      </c>
      <c r="C6" s="5" t="inlineStr">
        <is>
          <t>Tier 1 — smoke test</t>
        </is>
      </c>
      <c r="D6" s="5" t="inlineStr">
        <is>
          <t>seeklhy/codes-1b</t>
        </is>
      </c>
      <c r="E6" s="5" t="inlineStr">
        <is>
          <t>toy schema (not Spider)</t>
        </is>
      </c>
      <c r="F6" s="5" t="inlineStr">
        <is>
          <t>n/a</t>
        </is>
      </c>
      <c r="G6" s="5" t="inlineStr">
        <is>
          <t>query_executed_without_error</t>
        </is>
      </c>
      <c r="H6" s="5" t="n"/>
      <c r="I6" s="5" t="n"/>
      <c r="J6" s="6">
        <f>IF(AND(ISNUMBER(H6),ISNUMBER(I6),I6&lt;&gt;0),(H6-I6)/I6*100,"")</f>
        <v/>
      </c>
      <c r="K6" s="5">
        <f>IF(ISNUMBER(J6),IF(ABS(J6)&lt;=10,"YES","NO — document cause"),"")</f>
        <v/>
      </c>
      <c r="L6" s="5" t="n">
        <v>61.9</v>
      </c>
      <c r="M6" s="5" t="inlineStr">
        <is>
          <t>Tesla T4 (Colab)</t>
        </is>
      </c>
      <c r="N6" s="5" t="inlineStr">
        <is>
          <t>2.11.0+cu128</t>
        </is>
      </c>
      <c r="O6" s="5" t="inlineStr">
        <is>
          <t>5.15.0</t>
        </is>
      </c>
      <c r="P6" s="7" t="inlineStr">
        <is>
          <t>Week-4 gate liveness check: generated SQL executed on SQLite. Not a faithful run.</t>
        </is>
      </c>
    </row>
    <row r="7" ht="30" customHeight="1">
      <c r="A7" s="5" t="inlineStr">
        <is>
          <t>T2-001</t>
        </is>
      </c>
      <c r="B7" s="5" t="inlineStr">
        <is>
          <t>2026-08-26</t>
        </is>
      </c>
      <c r="C7" s="5" t="inlineStr">
        <is>
          <t>Tier 2 — harness v1</t>
        </is>
      </c>
      <c r="D7" s="5" t="inlineStr">
        <is>
          <t>seeklhy/codes-1b-spider</t>
        </is>
      </c>
      <c r="E7" s="5" t="inlineStr">
        <is>
          <t>Spider dev (1034)</t>
        </is>
      </c>
      <c r="F7" s="5" t="n">
        <v>42</v>
      </c>
      <c r="G7" s="5" t="inlineStr">
        <is>
          <t>EX (simple metric)</t>
        </is>
      </c>
      <c r="H7" s="5" t="n">
        <v>64.8</v>
      </c>
      <c r="I7" s="5" t="n">
        <v>77.90000000000001</v>
      </c>
      <c r="J7" s="6">
        <f>IF(AND(ISNUMBER(H7),ISNUMBER(I7),I7&lt;&gt;0),(H7-I7)/I7*100,"")</f>
        <v/>
      </c>
      <c r="K7" s="5">
        <f>IF(ISNUMBER(J7),IF(ABS(J7)&lt;=10,"YES","NO — document cause"),"")</f>
        <v/>
      </c>
      <c r="L7" s="5" t="n">
        <v>6538</v>
      </c>
      <c r="M7" s="5" t="inlineStr">
        <is>
          <t>Apple M4 (MPS, bf16)</t>
        </is>
      </c>
      <c r="N7" s="5" t="inlineStr">
        <is>
          <t>2.13.0</t>
        </is>
      </c>
      <c r="O7" s="5" t="inlineStr">
        <is>
          <t>5.15.0</t>
        </is>
      </c>
      <c r="P7" s="7" t="inlineStr">
        <is>
          <t>Prompt = schema + foreign keys only; beam 0. Simple sorted-rows metric — NOT the paper's evaluator (see harness_audit.md).</t>
        </is>
      </c>
    </row>
    <row r="8" ht="30" customHeight="1">
      <c r="A8" s="5" t="inlineStr">
        <is>
          <t>T2-002</t>
        </is>
      </c>
      <c r="B8" s="5" t="inlineStr">
        <is>
          <t>2026-08-26</t>
        </is>
      </c>
      <c r="C8" s="5" t="inlineStr">
        <is>
          <t>Tier 2 — harness v1</t>
        </is>
      </c>
      <c r="D8" s="5" t="inlineStr">
        <is>
          <t>seeklhy/codes-1b-spider</t>
        </is>
      </c>
      <c r="E8" s="5" t="inlineStr">
        <is>
          <t>Spider dev (1034)</t>
        </is>
      </c>
      <c r="F8" s="5" t="n">
        <v>42</v>
      </c>
      <c r="G8" s="5" t="inlineStr">
        <is>
          <t>EX (simple metric)</t>
        </is>
      </c>
      <c r="H8" s="5" t="n">
        <v>71.7</v>
      </c>
      <c r="I8" s="5" t="n">
        <v>77.90000000000001</v>
      </c>
      <c r="J8" s="6">
        <f>IF(AND(ISNUMBER(H8),ISNUMBER(I8),I8&lt;&gt;0),(H8-I8)/I8*100,"")</f>
        <v/>
      </c>
      <c r="K8" s="5">
        <f>IF(ISNUMBER(J8),IF(ABS(J8)&lt;=10,"YES","NO — document cause"),"")</f>
        <v/>
      </c>
      <c r="L8" s="5" t="n">
        <v>2211</v>
      </c>
      <c r="M8" s="5" t="inlineStr">
        <is>
          <t>Tesla T4 (Colab, fp16)</t>
        </is>
      </c>
      <c r="N8" s="5" t="inlineStr">
        <is>
          <t>not recorded</t>
        </is>
      </c>
      <c r="O8" s="5" t="inlineStr">
        <is>
          <t>not recorded</t>
        </is>
      </c>
      <c r="P8" s="7" t="inlineStr">
        <is>
          <t>Full CodeS prompt; beam 0. 741/1034; 93.5% executable. Simple metric; numeric-value retriever bug present.</t>
        </is>
      </c>
    </row>
    <row r="9" ht="30" customHeight="1">
      <c r="A9" s="5" t="inlineStr">
        <is>
          <t>T2-003</t>
        </is>
      </c>
      <c r="B9" s="5" t="inlineStr">
        <is>
          <t>2026-09-13</t>
        </is>
      </c>
      <c r="C9" s="5" t="inlineStr">
        <is>
          <t>Tier 2 — harness v1</t>
        </is>
      </c>
      <c r="D9" s="5" t="inlineStr">
        <is>
          <t>seeklhy/codes-1b-spider</t>
        </is>
      </c>
      <c r="E9" s="5" t="inlineStr">
        <is>
          <t>Spider dev (1034)</t>
        </is>
      </c>
      <c r="F9" s="5" t="n">
        <v>42</v>
      </c>
      <c r="G9" s="5" t="inlineStr">
        <is>
          <t>EX (simple metric)</t>
        </is>
      </c>
      <c r="H9" s="5" t="n">
        <v>73.79000000000001</v>
      </c>
      <c r="I9" s="5" t="n">
        <v>77.90000000000001</v>
      </c>
      <c r="J9" s="6">
        <f>IF(AND(ISNUMBER(H9),ISNUMBER(I9),I9&lt;&gt;0),(H9-I9)/I9*100,"")</f>
        <v/>
      </c>
      <c r="K9" s="5">
        <f>IF(ISNUMBER(J9),IF(ABS(J9)&lt;=10,"YES","NO — document cause"),"")</f>
        <v/>
      </c>
      <c r="L9" s="5" t="n">
        <v>2111</v>
      </c>
      <c r="M9" s="5" t="inlineStr">
        <is>
          <t>Tesla T4 (Colab, fp16)</t>
        </is>
      </c>
      <c r="N9" s="5" t="inlineStr">
        <is>
          <t>not recorded</t>
        </is>
      </c>
      <c r="O9" s="5" t="inlineStr">
        <is>
          <t>not recorded</t>
        </is>
      </c>
      <c r="P9" s="7" t="inlineStr">
        <is>
          <t>+ authors' selection rule (first of 4 beams passing EXPLAIN QUERY PLAN). 763/1034; 97.3% executable. Simple metric; retriever bug present.</t>
        </is>
      </c>
    </row>
    <row r="10" ht="30" customHeight="1">
      <c r="A10" s="5" t="inlineStr">
        <is>
          <t>T2-003r</t>
        </is>
      </c>
      <c r="B10" s="5" t="inlineStr">
        <is>
          <t>2026-09-20</t>
        </is>
      </c>
      <c r="C10" s="5" t="inlineStr">
        <is>
          <t>Tier 2 — harness v1 (repeat)</t>
        </is>
      </c>
      <c r="D10" s="5" t="inlineStr">
        <is>
          <t>seeklhy/codes-1b-spider</t>
        </is>
      </c>
      <c r="E10" s="5" t="inlineStr">
        <is>
          <t>Spider dev (1034)</t>
        </is>
      </c>
      <c r="F10" s="5" t="n">
        <v>42</v>
      </c>
      <c r="G10" s="5" t="inlineStr">
        <is>
          <t>EX (simple metric)</t>
        </is>
      </c>
      <c r="H10" s="5" t="n">
        <v>73.79000000000001</v>
      </c>
      <c r="I10" s="5" t="n">
        <v>77.90000000000001</v>
      </c>
      <c r="J10" s="6">
        <f>IF(AND(ISNUMBER(H10),ISNUMBER(I10),I10&lt;&gt;0),(H10-I10)/I10*100,"")</f>
        <v/>
      </c>
      <c r="K10" s="5">
        <f>IF(ISNUMBER(J10),IF(ABS(J10)&lt;=10,"YES","NO — document cause"),"")</f>
        <v/>
      </c>
      <c r="L10" s="5" t="n">
        <v>2270</v>
      </c>
      <c r="M10" s="5" t="inlineStr">
        <is>
          <t>Tesla T4 (Colab, fp16)</t>
        </is>
      </c>
      <c r="N10" s="5" t="inlineStr">
        <is>
          <t>2.11.0+cu128</t>
        </is>
      </c>
      <c r="O10" s="5" t="inlineStr">
        <is>
          <t>5.16.1</t>
        </is>
      </c>
      <c r="P10" s="7" t="inlineStr">
        <is>
          <t>Identical repeat of T2-003: 763/1034 again — decoding is deterministic.</t>
        </is>
      </c>
    </row>
    <row r="11" ht="30" customHeight="1">
      <c r="A11" s="5" t="inlineStr">
        <is>
          <t>T2-005</t>
        </is>
      </c>
      <c r="B11" s="5" t="inlineStr">
        <is>
          <t>2026-09-26</t>
        </is>
      </c>
      <c r="C11" s="5" t="inlineStr">
        <is>
          <t>Tier 2 — harness v2 (HEADLINE)</t>
        </is>
      </c>
      <c r="D11" s="5" t="inlineStr">
        <is>
          <t>seeklhy/codes-1b-spider</t>
        </is>
      </c>
      <c r="E11" s="5" t="inlineStr">
        <is>
          <t>Spider dev (1034)</t>
        </is>
      </c>
      <c r="F11" s="5" t="n">
        <v>42</v>
      </c>
      <c r="G11" s="5" t="inlineStr">
        <is>
          <t>EX (OFFICIAL Spider evaluator)</t>
        </is>
      </c>
      <c r="H11" s="5" t="n">
        <v>77.8</v>
      </c>
      <c r="I11" s="5" t="n">
        <v>77.90000000000001</v>
      </c>
      <c r="J11" s="6">
        <f>IF(AND(ISNUMBER(H11),ISNUMBER(I11),I11&lt;&gt;0),(H11-I11)/I11*100,"")</f>
        <v/>
      </c>
      <c r="K11" s="5">
        <f>IF(ISNUMBER(J11),IF(ABS(J11)&lt;=10,"YES","NO — document cause"),"")</f>
        <v/>
      </c>
      <c r="L11" s="5" t="n">
        <v>2865</v>
      </c>
      <c r="M11" s="5" t="inlineStr">
        <is>
          <t>Tesla T4 (Colab, fp16)</t>
        </is>
      </c>
      <c r="N11" s="5" t="inlineStr">
        <is>
          <t>2.11.0+cu128</t>
        </is>
      </c>
      <c r="O11" s="5" t="inlineStr">
        <is>
          <t>5.16.1</t>
        </is>
      </c>
      <c r="P11" s="7" t="inlineStr">
        <is>
          <t>After audit: numeric values in retriever, tables.json comments, authors' truncation; scored with test_suite_sql_eval evaluation.py --etype exec (paper's metric). Simple metric on same preds = 73.4. 97.3% executable.</t>
        </is>
      </c>
    </row>
    <row r="12">
      <c r="A12" s="5" t="inlineStr">
        <is>
          <t>T2-006</t>
        </is>
      </c>
      <c r="B12" s="5" t="inlineStr">
        <is>
          <t>2026-09-28</t>
        </is>
      </c>
      <c r="C12" s="5" t="inlineStr">
        <is>
          <t>Week 10 — fresh baseline (harness v2)</t>
        </is>
      </c>
      <c r="D12" s="5" t="inlineStr">
        <is>
          <t>seeklhy/codes-1b-spider</t>
        </is>
      </c>
      <c r="E12" s="5" t="inlineStr">
        <is>
          <t>Spider dev (1034)</t>
        </is>
      </c>
      <c r="F12" s="5" t="n">
        <v>42</v>
      </c>
      <c r="G12" s="5" t="inlineStr">
        <is>
          <t>EX (OFFICIAL Spider evaluator)</t>
        </is>
      </c>
      <c r="H12" s="5" t="n">
        <v>77.76000000000001</v>
      </c>
      <c r="I12" s="5" t="n">
        <v>77.90000000000001</v>
      </c>
      <c r="J12" s="6">
        <f>IF(AND(ISNUMBER(H12),ISNUMBER(I12),I12&lt;&gt;0),(H12-I12)/I12*100,"")</f>
        <v/>
      </c>
      <c r="K12" s="5">
        <f>IF(ISNUMBER(J12),IF(ABS(J12)&lt;=10,"YES","NO — document cause"),"")</f>
        <v/>
      </c>
      <c r="L12" s="5" t="inlineStr">
        <is>
          <t>not reported</t>
        </is>
      </c>
      <c r="M12" s="5" t="inlineStr">
        <is>
          <t>Tesla T4 (Colab, fp16)</t>
        </is>
      </c>
      <c r="N12" s="5" t="inlineStr">
        <is>
          <t>2.11.0+cu128</t>
        </is>
      </c>
      <c r="O12" s="5" t="inlineStr">
        <is>
          <t>5.16.1</t>
        </is>
      </c>
      <c r="P12" s="7" t="inlineStr">
        <is>
          <t>Fresh re-run of T2-005: 804/1034 official (identical); simple 759/1034 identical. Baseline for the Month-3 enhancement; candidate dump saved.</t>
        </is>
      </c>
    </row>
    <row r="13">
      <c r="A13" s="5" t="inlineStr">
        <is>
          <t>T2-004</t>
        </is>
      </c>
      <c r="B13" s="5" t="inlineStr">
        <is>
          <t>TBD</t>
        </is>
      </c>
      <c r="C13" s="5" t="inlineStr">
        <is>
          <t>Tier 2 — 3B row (planned)</t>
        </is>
      </c>
      <c r="D13" s="5" t="inlineStr">
        <is>
          <t>seeklhy/codes-3b-spider</t>
        </is>
      </c>
      <c r="E13" s="5" t="inlineStr">
        <is>
          <t>Spider dev (1034)</t>
        </is>
      </c>
      <c r="F13" s="5" t="n">
        <v>42</v>
      </c>
      <c r="G13" s="5" t="inlineStr">
        <is>
          <t>EX (OFFICIAL)</t>
        </is>
      </c>
      <c r="H13" s="5" t="n"/>
      <c r="I13" s="5" t="n">
        <v>83.40000000000001</v>
      </c>
      <c r="J13" s="6">
        <f>IF(AND(ISNUMBER(H13),ISNUMBER(I13),I13&lt;&gt;0),(H13-I13)/I13*100,"")</f>
        <v/>
      </c>
      <c r="K13" s="5">
        <f>IF(ISNUMBER(J13),IF(ABS(J13)&lt;=10,"YES","NO — document cause"),"")</f>
        <v/>
      </c>
      <c r="L13" s="5" t="n"/>
      <c r="M13" s="5" t="inlineStr">
        <is>
          <t>Tesla T4 (Colab, fp16)</t>
        </is>
      </c>
      <c r="N13" s="5" t="n"/>
      <c r="O13" s="5" t="n"/>
      <c r="P13" s="7" t="inlineStr">
        <is>
          <t>Planned, harness v2.</t>
        </is>
      </c>
    </row>
    <row r="14">
      <c r="A14" s="5" t="inlineStr">
        <is>
          <t>AB-003</t>
        </is>
      </c>
      <c r="B14" s="5" t="inlineStr">
        <is>
          <t>2026-09-20</t>
        </is>
      </c>
      <c r="C14" s="5" t="inlineStr">
        <is>
          <t>Week 7 ablation — harness v1</t>
        </is>
      </c>
      <c r="D14" s="5" t="inlineStr">
        <is>
          <t>seeklhy/codes-1b-spider</t>
        </is>
      </c>
      <c r="E14" s="5" t="inlineStr">
        <is>
          <t>Spider dev (1034)</t>
        </is>
      </c>
      <c r="F14" s="5" t="n">
        <v>42</v>
      </c>
      <c r="G14" s="5" t="inlineStr">
        <is>
          <t>EX simple — no representative values</t>
        </is>
      </c>
      <c r="H14" s="5" t="n">
        <v>72.23999999999999</v>
      </c>
      <c r="I14" s="5" t="n">
        <v>73.79000000000001</v>
      </c>
      <c r="J14" s="6">
        <f>IF(AND(ISNUMBER(H14),ISNUMBER(I14),I14&lt;&gt;0),(H14-I14)/I14*100,"")</f>
        <v/>
      </c>
      <c r="K14" s="5">
        <f>IF(ISNUMBER(J14),IF(ABS(J14)&lt;=10,"YES","NO — document cause"),"")</f>
        <v/>
      </c>
      <c r="L14" s="5" t="n">
        <v>1652</v>
      </c>
      <c r="M14" s="5" t="inlineStr">
        <is>
          <t>Tesla T4 (Colab, fp16)</t>
        </is>
      </c>
      <c r="N14" s="5" t="inlineStr">
        <is>
          <t>2.11.0+cu128</t>
        </is>
      </c>
      <c r="O14" s="5" t="inlineStr">
        <is>
          <t>5.16.1</t>
        </is>
      </c>
      <c r="P14" s="7" t="inlineStr">
        <is>
          <t>Paper Value column = our baseline T2-003 (not the paper). 747/1034; 97.8% executable. Δ −1.55.</t>
        </is>
      </c>
    </row>
    <row r="15">
      <c r="A15" s="5" t="inlineStr">
        <is>
          <t>AB-004</t>
        </is>
      </c>
      <c r="B15" s="5" t="inlineStr">
        <is>
          <t>2026-09-20</t>
        </is>
      </c>
      <c r="C15" s="5" t="inlineStr">
        <is>
          <t>Week 7 ablation — harness v1</t>
        </is>
      </c>
      <c r="D15" s="5" t="inlineStr">
        <is>
          <t>seeklhy/codes-1b-spider</t>
        </is>
      </c>
      <c r="E15" s="5" t="inlineStr">
        <is>
          <t>Spider dev (1034)</t>
        </is>
      </c>
      <c r="F15" s="5" t="n">
        <v>42</v>
      </c>
      <c r="G15" s="5" t="inlineStr">
        <is>
          <t>EX simple — no matched contents</t>
        </is>
      </c>
      <c r="H15" s="5" t="n">
        <v>71.08</v>
      </c>
      <c r="I15" s="5" t="n">
        <v>73.79000000000001</v>
      </c>
      <c r="J15" s="6">
        <f>IF(AND(ISNUMBER(H15),ISNUMBER(I15),I15&lt;&gt;0),(H15-I15)/I15*100,"")</f>
        <v/>
      </c>
      <c r="K15" s="5">
        <f>IF(ISNUMBER(J15),IF(ABS(J15)&lt;=10,"YES","NO — document cause"),"")</f>
        <v/>
      </c>
      <c r="L15" s="5" t="n">
        <v>2234</v>
      </c>
      <c r="M15" s="5" t="inlineStr">
        <is>
          <t>Tesla T4 (Colab, fp16)</t>
        </is>
      </c>
      <c r="N15" s="5" t="inlineStr">
        <is>
          <t>2.11.0+cu128</t>
        </is>
      </c>
      <c r="O15" s="5" t="inlineStr">
        <is>
          <t>5.16.1</t>
        </is>
      </c>
      <c r="P15" s="7" t="inlineStr">
        <is>
          <t>Baseline T2-003. 735/1034; 96.8% executable. Δ −2.71 (largest).</t>
        </is>
      </c>
    </row>
    <row r="16">
      <c r="A16" s="5" t="inlineStr">
        <is>
          <t>AB-005</t>
        </is>
      </c>
      <c r="B16" s="5" t="inlineStr">
        <is>
          <t>2026-09-22</t>
        </is>
      </c>
      <c r="C16" s="5" t="inlineStr">
        <is>
          <t>Week 7 ablation — harness v1</t>
        </is>
      </c>
      <c r="D16" s="5" t="inlineStr">
        <is>
          <t>seeklhy/codes-1b-spider</t>
        </is>
      </c>
      <c r="E16" s="5" t="inlineStr">
        <is>
          <t>Spider dev (1034)</t>
        </is>
      </c>
      <c r="F16" s="5" t="n">
        <v>42</v>
      </c>
      <c r="G16" s="5" t="inlineStr">
        <is>
          <t>EX simple — no foreign keys</t>
        </is>
      </c>
      <c r="H16" s="5" t="n">
        <v>72.23999999999999</v>
      </c>
      <c r="I16" s="5" t="n">
        <v>73.79000000000001</v>
      </c>
      <c r="J16" s="6">
        <f>IF(AND(ISNUMBER(H16),ISNUMBER(I16),I16&lt;&gt;0),(H16-I16)/I16*100,"")</f>
        <v/>
      </c>
      <c r="K16" s="5">
        <f>IF(ISNUMBER(J16),IF(ABS(J16)&lt;=10,"YES","NO — document cause"),"")</f>
        <v/>
      </c>
      <c r="L16" s="5" t="n">
        <v>2062</v>
      </c>
      <c r="M16" s="5" t="inlineStr">
        <is>
          <t>Tesla T4 (Colab, fp16)</t>
        </is>
      </c>
      <c r="N16" s="5" t="inlineStr">
        <is>
          <t>2.11.0+cu128</t>
        </is>
      </c>
      <c r="O16" s="5" t="inlineStr">
        <is>
          <t>5.16.1</t>
        </is>
      </c>
      <c r="P16" s="7" t="inlineStr">
        <is>
          <t>Baseline T2-003. 747/1034; 95.5% executable. Δ −1.55.</t>
        </is>
      </c>
    </row>
    <row r="17">
      <c r="A17" s="5" t="inlineStr">
        <is>
          <t>AB-006</t>
        </is>
      </c>
      <c r="B17" s="5" t="inlineStr">
        <is>
          <t>2026-09-22</t>
        </is>
      </c>
      <c r="C17" s="5" t="inlineStr">
        <is>
          <t>Week 7 ablation — harness v1</t>
        </is>
      </c>
      <c r="D17" s="5" t="inlineStr">
        <is>
          <t>seeklhy/codes-1b-spider</t>
        </is>
      </c>
      <c r="E17" s="5" t="inlineStr">
        <is>
          <t>Spider dev (1034)</t>
        </is>
      </c>
      <c r="F17" s="5" t="n">
        <v>42</v>
      </c>
      <c r="G17" s="5" t="inlineStr">
        <is>
          <t>EX simple — no candidate selection</t>
        </is>
      </c>
      <c r="H17" s="5" t="n">
        <v>71.66</v>
      </c>
      <c r="I17" s="5" t="n">
        <v>73.79000000000001</v>
      </c>
      <c r="J17" s="6">
        <f>IF(AND(ISNUMBER(H17),ISNUMBER(I17),I17&lt;&gt;0),(H17-I17)/I17*100,"")</f>
        <v/>
      </c>
      <c r="K17" s="5">
        <f>IF(ISNUMBER(J17),IF(ABS(J17)&lt;=10,"YES","NO — document cause"),"")</f>
        <v/>
      </c>
      <c r="L17" s="5" t="n">
        <v>2265</v>
      </c>
      <c r="M17" s="5" t="inlineStr">
        <is>
          <t>Tesla T4 (Colab, fp16)</t>
        </is>
      </c>
      <c r="N17" s="5" t="inlineStr">
        <is>
          <t>2.11.0+cu128</t>
        </is>
      </c>
      <c r="O17" s="5" t="inlineStr">
        <is>
          <t>5.16.1</t>
        </is>
      </c>
      <c r="P17" s="7" t="inlineStr">
        <is>
          <t>Baseline T2-003. 741/1034 — identical to T2-002. 93.5% executable. Δ −2.13.</t>
        </is>
      </c>
    </row>
    <row r="18">
      <c r="A18" s="5" t="inlineStr">
        <is>
          <t>AB-103</t>
        </is>
      </c>
      <c r="B18" s="5" t="inlineStr">
        <is>
          <t>2026-09-28</t>
        </is>
      </c>
      <c r="C18" s="5" t="inlineStr">
        <is>
          <t>Week 7 ablation — harness v2</t>
        </is>
      </c>
      <c r="D18" s="5" t="inlineStr">
        <is>
          <t>seeklhy/codes-1b-spider</t>
        </is>
      </c>
      <c r="E18" s="5" t="inlineStr">
        <is>
          <t>Spider dev (1034)</t>
        </is>
      </c>
      <c r="F18" s="5" t="n">
        <v>42</v>
      </c>
      <c r="G18" s="5" t="inlineStr">
        <is>
          <t>EX OFFICIAL — no representative values</t>
        </is>
      </c>
      <c r="H18" s="5" t="n">
        <v>76.40000000000001</v>
      </c>
      <c r="I18" s="5" t="n">
        <v>77.8</v>
      </c>
      <c r="J18" s="6">
        <f>IF(AND(ISNUMBER(H18),ISNUMBER(I18),I18&lt;&gt;0),(H18-I18)/I18*100,"")</f>
        <v/>
      </c>
      <c r="K18" s="5">
        <f>IF(ISNUMBER(J18),IF(ABS(J18)&lt;=10,"YES","NO — document cause"),"")</f>
        <v/>
      </c>
      <c r="L18" s="5" t="inlineStr">
        <is>
          <t>not reported</t>
        </is>
      </c>
      <c r="M18" s="5" t="inlineStr">
        <is>
          <t>Tesla T4 (Colab, fp16)</t>
        </is>
      </c>
      <c r="N18" s="5" t="inlineStr">
        <is>
          <t>2.11.0+cu128</t>
        </is>
      </c>
      <c r="O18" s="5" t="inlineStr">
        <is>
          <t>5.16.1</t>
        </is>
      </c>
      <c r="P18" s="7" t="inlineStr">
        <is>
          <t>Paper Value column = baseline T2-005 (77.8, official). Δ -1.4 pts. Simple EX 72.24 (747/1034); 98.1% executable.</t>
        </is>
      </c>
    </row>
    <row r="19">
      <c r="A19" s="5" t="inlineStr">
        <is>
          <t>AB-104</t>
        </is>
      </c>
      <c r="B19" s="5" t="inlineStr">
        <is>
          <t>2026-09-28</t>
        </is>
      </c>
      <c r="C19" s="5" t="inlineStr">
        <is>
          <t>Week 7 ablation — harness v2</t>
        </is>
      </c>
      <c r="D19" s="5" t="inlineStr">
        <is>
          <t>seeklhy/codes-1b-spider</t>
        </is>
      </c>
      <c r="E19" s="5" t="inlineStr">
        <is>
          <t>Spider dev (1034)</t>
        </is>
      </c>
      <c r="F19" s="5" t="n">
        <v>42</v>
      </c>
      <c r="G19" s="5" t="inlineStr">
        <is>
          <t>EX OFFICIAL — no matched contents</t>
        </is>
      </c>
      <c r="H19" s="5" t="n">
        <v>75.90000000000001</v>
      </c>
      <c r="I19" s="5" t="n">
        <v>77.8</v>
      </c>
      <c r="J19" s="6">
        <f>IF(AND(ISNUMBER(H19),ISNUMBER(I19),I19&lt;&gt;0),(H19-I19)/I19*100,"")</f>
        <v/>
      </c>
      <c r="K19" s="5">
        <f>IF(ISNUMBER(J19),IF(ABS(J19)&lt;=10,"YES","NO — document cause"),"")</f>
        <v/>
      </c>
      <c r="L19" s="5" t="inlineStr">
        <is>
          <t>not reported</t>
        </is>
      </c>
      <c r="M19" s="5" t="inlineStr">
        <is>
          <t>Tesla T4 (Colab, fp16)</t>
        </is>
      </c>
      <c r="N19" s="5" t="inlineStr">
        <is>
          <t>2.11.0+cu128</t>
        </is>
      </c>
      <c r="O19" s="5" t="inlineStr">
        <is>
          <t>5.16.1</t>
        </is>
      </c>
      <c r="P19" s="7" t="inlineStr">
        <is>
          <t>Paper Value column = baseline T2-005 (77.8, official). Δ -1.9 pts. Simple EX 71.57 (740/1034); 97.2% executable.</t>
        </is>
      </c>
    </row>
    <row r="20">
      <c r="A20" s="5" t="inlineStr">
        <is>
          <t>AB-105</t>
        </is>
      </c>
      <c r="B20" s="5" t="inlineStr">
        <is>
          <t>2026-09-28</t>
        </is>
      </c>
      <c r="C20" s="5" t="inlineStr">
        <is>
          <t>Week 7 ablation — harness v2</t>
        </is>
      </c>
      <c r="D20" s="5" t="inlineStr">
        <is>
          <t>seeklhy/codes-1b-spider</t>
        </is>
      </c>
      <c r="E20" s="5" t="inlineStr">
        <is>
          <t>Spider dev (1034)</t>
        </is>
      </c>
      <c r="F20" s="5" t="n">
        <v>42</v>
      </c>
      <c r="G20" s="5" t="inlineStr">
        <is>
          <t>EX OFFICIAL — no foreign keys</t>
        </is>
      </c>
      <c r="H20" s="5" t="n">
        <v>76.90000000000001</v>
      </c>
      <c r="I20" s="5" t="n">
        <v>77.8</v>
      </c>
      <c r="J20" s="6">
        <f>IF(AND(ISNUMBER(H20),ISNUMBER(I20),I20&lt;&gt;0),(H20-I20)/I20*100,"")</f>
        <v/>
      </c>
      <c r="K20" s="5">
        <f>IF(ISNUMBER(J20),IF(ABS(J20)&lt;=10,"YES","NO — document cause"),"")</f>
        <v/>
      </c>
      <c r="L20" s="5" t="inlineStr">
        <is>
          <t>not reported</t>
        </is>
      </c>
      <c r="M20" s="5" t="inlineStr">
        <is>
          <t>Tesla T4 (Colab, fp16)</t>
        </is>
      </c>
      <c r="N20" s="5" t="inlineStr">
        <is>
          <t>2.11.0+cu128</t>
        </is>
      </c>
      <c r="O20" s="5" t="inlineStr">
        <is>
          <t>5.16.1</t>
        </is>
      </c>
      <c r="P20" s="7" t="inlineStr">
        <is>
          <t>Paper Value column = baseline T2-005 (77.8, official). Δ -0.9 pts. Simple EX 72.34 (748/1034); 95.9% executable.</t>
        </is>
      </c>
    </row>
    <row r="21">
      <c r="A21" s="5" t="inlineStr">
        <is>
          <t>AB-106</t>
        </is>
      </c>
      <c r="B21" s="5" t="inlineStr">
        <is>
          <t>2026-09-28</t>
        </is>
      </c>
      <c r="C21" s="5" t="inlineStr">
        <is>
          <t>Week 7 ablation — harness v2</t>
        </is>
      </c>
      <c r="D21" s="5" t="inlineStr">
        <is>
          <t>seeklhy/codes-1b-spider</t>
        </is>
      </c>
      <c r="E21" s="5" t="inlineStr">
        <is>
          <t>Spider dev (1034)</t>
        </is>
      </c>
      <c r="F21" s="5" t="n">
        <v>42</v>
      </c>
      <c r="G21" s="5" t="inlineStr">
        <is>
          <t>EX OFFICIAL — no candidate selection</t>
        </is>
      </c>
      <c r="H21" s="5" t="n">
        <v>76</v>
      </c>
      <c r="I21" s="5" t="n">
        <v>77.8</v>
      </c>
      <c r="J21" s="6">
        <f>IF(AND(ISNUMBER(H21),ISNUMBER(I21),I21&lt;&gt;0),(H21-I21)/I21*100,"")</f>
        <v/>
      </c>
      <c r="K21" s="5">
        <f>IF(ISNUMBER(J21),IF(ABS(J21)&lt;=10,"YES","NO — document cause"),"")</f>
        <v/>
      </c>
      <c r="L21" s="5" t="inlineStr">
        <is>
          <t>not reported</t>
        </is>
      </c>
      <c r="M21" s="5" t="inlineStr">
        <is>
          <t>Tesla T4 (Colab, fp16)</t>
        </is>
      </c>
      <c r="N21" s="5" t="inlineStr">
        <is>
          <t>2.11.0+cu128</t>
        </is>
      </c>
      <c r="O21" s="5" t="inlineStr">
        <is>
          <t>5.16.1</t>
        </is>
      </c>
      <c r="P21" s="7" t="inlineStr">
        <is>
          <t>Paper Value column = baseline T2-005 (77.8, official). Δ -1.8 pts. Simple EX 71.66 (741/1034); 94.1% executable.</t>
        </is>
      </c>
    </row>
    <row r="22">
      <c r="A22" s="5" t="inlineStr">
        <is>
          <t>RP-001</t>
        </is>
      </c>
      <c r="B22" s="5" t="inlineStr">
        <is>
          <t>2026-10-01</t>
        </is>
      </c>
      <c r="C22" s="5" t="inlineStr">
        <is>
          <t>App feature check — self-correction (not a reproduction run)</t>
        </is>
      </c>
      <c r="D22" s="5" t="inlineStr">
        <is>
          <t>seeklhy/codes-1b-spider</t>
        </is>
      </c>
      <c r="E22" s="5" t="inlineStr">
        <is>
          <t>Spider dev (1034)</t>
        </is>
      </c>
      <c r="F22" s="5" t="n">
        <v>42</v>
      </c>
      <c r="G22" s="5" t="inlineStr">
        <is>
          <t>EX OFFICIAL — with repair of failed candidates</t>
        </is>
      </c>
      <c r="H22" s="5" t="n">
        <v>77.84999999999999</v>
      </c>
      <c r="I22" s="5" t="n">
        <v>77.76000000000001</v>
      </c>
      <c r="J22" s="6">
        <f>IF(AND(ISNUMBER(H22),ISNUMBER(I22),I22&lt;&gt;0),(H22-I22)/I22*100,"")</f>
        <v/>
      </c>
      <c r="K22" s="5">
        <f>IF(ISNUMBER(J22),IF(ABS(J22)&lt;=10,"YES","NO — document cause"),"")</f>
        <v/>
      </c>
      <c r="L22" s="5" t="inlineStr">
        <is>
          <t>not recorded</t>
        </is>
      </c>
      <c r="M22" s="5" t="inlineStr">
        <is>
          <t>Apple M4 (mps)</t>
        </is>
      </c>
      <c r="N22" s="5" t="inlineStr">
        <is>
          <t>2.13.0</t>
        </is>
      </c>
      <c r="O22" s="5" t="inlineStr">
        <is>
          <t>5.15.0</t>
        </is>
      </c>
      <c r="P22" s="7" t="inlineStr">
        <is>
          <t>Paper Value column = baseline T2-006 (77.76, official) on the same candidates. 377 failed queries in 211 questions sent back once with their error (greedy); 61 ran after repair; +1 correct, 0 lost (804 -&gt; 805). Balanced abstention 90.43%/83.32% -&gt; 90.52%/83.23%. research/repair_eval.py; not part of the evaluated results.</t>
        </is>
      </c>
    </row>
    <row r="23">
      <c r="A23" s="8" t="inlineStr">
        <is>
          <t>Repeatability (T2-003 vs T2-003r, identical config):</t>
        </is>
      </c>
      <c r="H23" s="9">
        <f>H10-H9</f>
        <v/>
      </c>
    </row>
    <row r="24">
      <c r="A24" s="8" t="inlineStr">
        <is>
          <t>Headline vs paper (T2-005, official metric), points:</t>
        </is>
      </c>
      <c r="H24" s="9">
        <f>H11-I11</f>
        <v/>
      </c>
    </row>
    <row r="25"/>
    <row r="26">
      <c r="A26" s="10" t="inlineStr">
        <is>
          <t>Reminder — "reproduction complete" means:</t>
        </is>
      </c>
    </row>
    <row r="27">
      <c r="A27" s="11" t="inlineStr">
        <is>
          <t>• Metrics land within ±5–10% of the published values (ML/AI tolerance per the SOP), OR</t>
        </is>
      </c>
    </row>
    <row r="28">
      <c r="A28" s="11" t="inlineStr">
        <is>
          <t>• The deviation is documented with a stated cause (different GPU, precision, library versions, batch size, dataset split).</t>
        </is>
      </c>
    </row>
    <row r="29">
      <c r="A29" s="11" t="inlineStr">
        <is>
          <t>• Read the paper value for YOUR exact configuration out of the CodeS paper — do not rely on memory or a secondary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34" customWidth="1" min="3" max="3"/>
  </cols>
  <sheetData>
    <row r="1">
      <c r="A1" s="1" t="inlineStr">
        <is>
          <t>Environment Specification</t>
        </is>
      </c>
    </row>
    <row r="2">
      <c r="A2" s="2" t="inlineStr">
        <is>
          <t>Record both the environment the authors used and the one you actually ran on.</t>
        </is>
      </c>
    </row>
    <row r="4">
      <c r="A4" s="12" t="inlineStr"/>
      <c r="B4" s="12" t="inlineStr">
        <is>
          <t>Authors (from the official repository)</t>
        </is>
      </c>
      <c r="C4" s="12" t="inlineStr">
        <is>
          <t>Ours (fill in)</t>
        </is>
      </c>
    </row>
    <row r="5">
      <c r="A5" s="13" t="inlineStr">
        <is>
          <t>GPU</t>
        </is>
      </c>
      <c r="B5" s="14" t="inlineStr">
        <is>
          <t>8 × NVIDIA A800, 80GB VRAM</t>
        </is>
      </c>
      <c r="C5" s="15" t="inlineStr">
        <is>
          <t>Tesla T4 16GB (Colab) for T2-002 onward; Apple M4 (MPS) for T2-001</t>
        </is>
      </c>
    </row>
    <row r="6">
      <c r="A6" s="13" t="inlineStr">
        <is>
          <t>CUDA</t>
        </is>
      </c>
      <c r="B6" s="14" t="inlineStr">
        <is>
          <t>11.8</t>
        </is>
      </c>
      <c r="C6" s="15" t="inlineStr">
        <is>
          <t>12.8 (torch 2.11.0+cu128)</t>
        </is>
      </c>
    </row>
    <row r="7">
      <c r="A7" s="13" t="inlineStr">
        <is>
          <t>CPU</t>
        </is>
      </c>
      <c r="B7" s="14" t="inlineStr">
        <is>
          <t>Intel Xeon Platinum 8358</t>
        </is>
      </c>
      <c r="C7" s="15" t="inlineStr">
        <is>
          <t>Apple M4 (local) / Colab VM (TBD)</t>
        </is>
      </c>
    </row>
    <row r="8">
      <c r="A8" s="13" t="inlineStr">
        <is>
          <t>RAM</t>
        </is>
      </c>
      <c r="B8" s="14" t="inlineStr">
        <is>
          <t>1024 GB</t>
        </is>
      </c>
      <c r="C8" s="15" t="inlineStr">
        <is>
          <t>16 GB (local)</t>
        </is>
      </c>
    </row>
    <row r="9">
      <c r="A9" s="13" t="inlineStr">
        <is>
          <t>OS</t>
        </is>
      </c>
      <c r="B9" s="14" t="inlineStr">
        <is>
          <t>CentOS Linux 7</t>
        </is>
      </c>
      <c r="C9" s="15" t="inlineStr">
        <is>
          <t>macOS 26.6.2 (local) / Ubuntu (Colab)</t>
        </is>
      </c>
    </row>
    <row r="10">
      <c r="A10" s="13" t="inlineStr">
        <is>
          <t>Python</t>
        </is>
      </c>
      <c r="B10" s="14" t="inlineStr">
        <is>
          <t>3.8.5 (Anaconda3)</t>
        </is>
      </c>
      <c r="C10" s="15" t="inlineStr">
        <is>
          <t>3.13.5 (local) / Colab default</t>
        </is>
      </c>
    </row>
    <row r="11">
      <c r="A11" s="13" t="inlineStr">
        <is>
          <t>PyTorch</t>
        </is>
      </c>
      <c r="B11" s="14" t="inlineStr">
        <is>
          <t>1.13.1</t>
        </is>
      </c>
      <c r="C11" s="15" t="inlineStr">
        <is>
          <t>2.11.0+cu128 (Colab, from T2-003r) / 2.13.0 (local)</t>
        </is>
      </c>
    </row>
    <row r="12">
      <c r="A12" s="13" t="inlineStr">
        <is>
          <t>transformers</t>
        </is>
      </c>
      <c r="B12" s="14" t="inlineStr">
        <is>
          <t>4.28.1</t>
        </is>
      </c>
      <c r="C12" s="15" t="inlineStr">
        <is>
          <t>5.16.1 (Colab, from T2-003r) / 5.15.0 (local)</t>
        </is>
      </c>
    </row>
    <row r="13">
      <c r="A13" s="13" t="inlineStr">
        <is>
          <t>accelerate</t>
        </is>
      </c>
      <c r="B13" s="14" t="inlineStr">
        <is>
          <t>0.18.0</t>
        </is>
      </c>
      <c r="C13" s="15" t="inlineStr"/>
    </row>
    <row r="14">
      <c r="A14" s="13" t="inlineStr">
        <is>
          <t>pyserini</t>
        </is>
      </c>
      <c r="B14" s="14" t="inlineStr">
        <is>
          <t>0.21.0 (requires Java 11)</t>
        </is>
      </c>
      <c r="C14" s="15" t="inlineStr">
        <is>
          <t>not used (distinct-value scan instead)</t>
        </is>
      </c>
    </row>
    <row r="15">
      <c r="A15" s="13" t="inlineStr">
        <is>
          <t>datasets</t>
        </is>
      </c>
      <c r="B15" s="14" t="inlineStr">
        <is>
          <t>2.11.0</t>
        </is>
      </c>
      <c r="C15" s="15" t="inlineStr"/>
    </row>
    <row r="16">
      <c r="A16" s="13" t="inlineStr">
        <is>
          <t>Model scale used</t>
        </is>
      </c>
      <c r="B16" s="14" t="inlineStr">
        <is>
          <t>CodeS-1B / 3B / 7B / 15B</t>
        </is>
      </c>
      <c r="C16" s="15" t="inlineStr">
        <is>
          <t>CodeS-1B (SFT, Spider)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6" customWidth="1" min="4" max="4"/>
  </cols>
  <sheetData>
    <row r="1">
      <c r="A1" s="1" t="inlineStr">
        <is>
          <t>Phase I Milestones and Weights</t>
        </is>
      </c>
    </row>
    <row r="3">
      <c r="A3" s="12" t="inlineStr">
        <is>
          <t>Component</t>
        </is>
      </c>
      <c r="B3" s="12" t="inlineStr">
        <is>
          <t>Weight</t>
        </is>
      </c>
      <c r="C3" s="12" t="inlineStr">
        <is>
          <t>Due</t>
        </is>
      </c>
      <c r="D3" s="12" t="inlineStr">
        <is>
          <t>Status</t>
        </is>
      </c>
    </row>
    <row r="4">
      <c r="A4" s="14" t="inlineStr">
        <is>
          <t>Paper selection + feasibility</t>
        </is>
      </c>
      <c r="B4" s="14" t="inlineStr">
        <is>
          <t>5%</t>
        </is>
      </c>
      <c r="C4" s="14" t="inlineStr">
        <is>
          <t>Week 2</t>
        </is>
      </c>
      <c r="D4" s="14" t="inlineStr">
        <is>
          <t>Done</t>
        </is>
      </c>
    </row>
    <row r="5">
      <c r="A5" s="14" t="inlineStr">
        <is>
          <t>Environment runs without error</t>
        </is>
      </c>
      <c r="B5" s="14" t="inlineStr">
        <is>
          <t>5%</t>
        </is>
      </c>
      <c r="C5" s="14" t="inlineStr">
        <is>
          <t>Week 4</t>
        </is>
      </c>
      <c r="D5" s="14" t="inlineStr">
        <is>
          <t>Done (T1-001, 14 Aug)</t>
        </is>
      </c>
    </row>
    <row r="6">
      <c r="A6" s="14" t="inlineStr">
        <is>
          <t>Reproduction log (3 runs)</t>
        </is>
      </c>
      <c r="B6" s="14" t="inlineStr">
        <is>
          <t>20%</t>
        </is>
      </c>
      <c r="C6" s="14" t="inlineStr">
        <is>
          <t>Week 5</t>
        </is>
      </c>
      <c r="D6" s="14" t="inlineStr">
        <is>
          <t>Done (T2-001..T2-005)</t>
        </is>
      </c>
    </row>
    <row r="7">
      <c r="A7" s="14" t="inlineStr">
        <is>
          <t>Reproduction report</t>
        </is>
      </c>
      <c r="B7" s="14" t="inlineStr">
        <is>
          <t>25%</t>
        </is>
      </c>
      <c r="C7" s="14" t="inlineStr">
        <is>
          <t>Week 8</t>
        </is>
      </c>
      <c r="D7" s="14" t="inlineStr">
        <is>
          <t>v2 written (26 Sep)</t>
        </is>
      </c>
    </row>
    <row r="8">
      <c r="A8" s="14" t="inlineStr">
        <is>
          <t>Enhancement proposal</t>
        </is>
      </c>
      <c r="B8" s="14" t="inlineStr">
        <is>
          <t>10%</t>
        </is>
      </c>
      <c r="C8" s="14" t="inlineStr">
        <is>
          <t>Week 9</t>
        </is>
      </c>
      <c r="D8" s="14" t="inlineStr">
        <is>
          <t>Not started</t>
        </is>
      </c>
    </row>
    <row r="9">
      <c r="A9" s="14" t="inlineStr">
        <is>
          <t>Enhancement results</t>
        </is>
      </c>
      <c r="B9" s="14" t="inlineStr">
        <is>
          <t>20%</t>
        </is>
      </c>
      <c r="C9" s="14" t="inlineStr">
        <is>
          <t>Week 12</t>
        </is>
      </c>
      <c r="D9" s="14" t="inlineStr">
        <is>
          <t>Not started</t>
        </is>
      </c>
    </row>
    <row r="10">
      <c r="A10" s="14" t="inlineStr">
        <is>
          <t>Final code + README</t>
        </is>
      </c>
      <c r="B10" s="14" t="inlineStr">
        <is>
          <t>10%</t>
        </is>
      </c>
      <c r="C10" s="14" t="inlineStr">
        <is>
          <t>Week 15</t>
        </is>
      </c>
      <c r="D10" s="14" t="inlineStr">
        <is>
          <t>Not started</t>
        </is>
      </c>
    </row>
    <row r="11">
      <c r="A11" s="14" t="inlineStr">
        <is>
          <t>Final report + presentation</t>
        </is>
      </c>
      <c r="B11" s="14" t="inlineStr">
        <is>
          <t>5%</t>
        </is>
      </c>
      <c r="C11" s="14" t="inlineStr">
        <is>
          <t>Week 16</t>
        </is>
      </c>
      <c r="D11" s="14" t="inlineStr">
        <is>
          <t>Not started</t>
        </is>
      </c>
    </row>
    <row r="13">
      <c r="A13" s="16" t="inlineStr">
        <is>
          <t>45% of the Phase I grade is locked in by Week 8 — the reproduction phase is the priority.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2026-08-13T13:50:21Z</dcterms:created>
  <dcterms:modified xmlns:dcterms="http://purl.org/dc/terms/" xmlns:xsi="http://www.w3.org/2001/XMLSchema-instance" xsi:type="dcterms:W3CDTF">2026-10-01T10:32:36Z</dcterms:modified>
</cp:coreProperties>
</file>