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18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4"/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2026-10-12</t>
        </is>
      </c>
      <c r="C13" s="5" t="inlineStr">
        <is>
          <t>Tier 2 — CodeS-3B (Review-III follow-up)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 Spider evaluator)</t>
        </is>
      </c>
      <c r="H13" s="5" t="n">
        <v>81.81999999999999</v>
      </c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>
        <v>5543</v>
      </c>
      <c r="M13" s="5" t="inlineStr">
        <is>
          <t>Tesla T4 (Colab, fp16)</t>
        </is>
      </c>
      <c r="N13" s="5" t="inlineStr">
        <is>
          <t>Colab default</t>
        </is>
      </c>
      <c r="O13" s="5" t="inlineStr">
        <is>
          <t>Colab default</t>
        </is>
      </c>
      <c r="P13" s="7" t="inlineStr">
        <is>
          <t>846/1034. Paper: Table 5, SFT CodeS-3B. Abstention: 85.2% correct at 89.7% coverage (+3.2 pts, p=2.9e-6); v2 (different queries only) +3.95 pts. results/abstention_T2-004.json, results/agreement_v2_T2-004.md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5" t="inlineStr">
        <is>
          <t>RP-001</t>
        </is>
      </c>
      <c r="B22" s="5" t="inlineStr">
        <is>
          <t>2026-10-01</t>
        </is>
      </c>
      <c r="C22" s="5" t="inlineStr">
        <is>
          <t>App feature check — self-correction (not a reproduction run)</t>
        </is>
      </c>
      <c r="D22" s="5" t="inlineStr">
        <is>
          <t>seeklhy/codes-1b-spider</t>
        </is>
      </c>
      <c r="E22" s="5" t="inlineStr">
        <is>
          <t>Spider dev (1034)</t>
        </is>
      </c>
      <c r="F22" s="5" t="n">
        <v>42</v>
      </c>
      <c r="G22" s="5" t="inlineStr">
        <is>
          <t>EX OFFICIAL — with repair of failed candidates</t>
        </is>
      </c>
      <c r="H22" s="5" t="n">
        <v>77.84999999999999</v>
      </c>
      <c r="I22" s="5" t="n">
        <v>77.76000000000001</v>
      </c>
      <c r="J22" s="6">
        <f>IF(AND(ISNUMBER(H22),ISNUMBER(I22),I22&lt;&gt;0),(H22-I22)/I22*100,"")</f>
        <v/>
      </c>
      <c r="K22" s="5">
        <f>IF(ISNUMBER(J22),IF(ABS(J22)&lt;=10,"YES","NO — document cause"),"")</f>
        <v/>
      </c>
      <c r="L22" s="5" t="inlineStr">
        <is>
          <t>not recorded</t>
        </is>
      </c>
      <c r="M22" s="5" t="inlineStr">
        <is>
          <t>Apple M4 (mps)</t>
        </is>
      </c>
      <c r="N22" s="5" t="inlineStr">
        <is>
          <t>2.13.0</t>
        </is>
      </c>
      <c r="O22" s="5" t="inlineStr">
        <is>
          <t>5.15.0</t>
        </is>
      </c>
      <c r="P22" s="7" t="inlineStr">
        <is>
          <t>Paper Value column = baseline T2-006 (77.76, official) on the same candidates. 377 failed queries in 211 questions sent back once with their error (greedy); 61 ran after repair; +1 correct, 0 lost (804 -&gt; 805). Balanced abstention 90.43%/83.32% -&gt; 90.52%/83.23%. research/repair_eval.py; not part of the evaluated results.</t>
        </is>
      </c>
    </row>
    <row r="23">
      <c r="A23" s="5" t="inlineStr">
        <is>
          <t>RL-001 (orig)</t>
        </is>
      </c>
      <c r="B23" s="5" t="inlineStr">
        <is>
          <t>2026-10-02</t>
        </is>
      </c>
      <c r="C23" s="5" t="inlineStr">
        <is>
          <t>Benchmark-to-reality — Spider-Realistic twins, original wording</t>
        </is>
      </c>
      <c r="D23" s="5" t="inlineStr">
        <is>
          <t>seeklhy/codes-1b-spider</t>
        </is>
      </c>
      <c r="E23" s="5" t="inlineStr">
        <is>
          <t>Spider dev, 508 questions with a Spider-Realistic twin</t>
        </is>
      </c>
      <c r="F23" s="5" t="n">
        <v>42</v>
      </c>
      <c r="G23" s="5" t="inlineStr">
        <is>
          <t>EX (official exec match)</t>
        </is>
      </c>
      <c r="H23" s="5" t="n">
        <v>72.8</v>
      </c>
      <c r="I23" s="5" t="n"/>
      <c r="J23" s="6">
        <f>IF(AND(ISNUMBER(H23),ISNUMBER(I23),I23&lt;&gt;0),(H23-I23)/I23*100,"")</f>
        <v/>
      </c>
      <c r="K23" s="5">
        <f>IF(ISNUMBER(J23),IF(ABS(J23)&lt;=10,"YES","NO — document cause"),"")</f>
        <v/>
      </c>
      <c r="L23" s="5" t="n">
        <v>11637</v>
      </c>
      <c r="M23" s="5" t="inlineStr">
        <is>
          <t>Apple M4 (mps, bf16)</t>
        </is>
      </c>
      <c r="N23" s="5" t="inlineStr">
        <is>
          <t>2.13.0</t>
        </is>
      </c>
      <c r="O23" s="5" t="inlineStr">
        <is>
          <t>5.15.0</t>
        </is>
      </c>
      <c r="P23" s="7" t="inlineStr">
        <is>
          <t>370/508. No paper value for this subset. Cross-check vs T2-006 (T4, fp16) on the same 508: same selected SQL on 485, T2-006 = 73.2 (372). Runtime covers both wordings.</t>
        </is>
      </c>
    </row>
    <row r="24">
      <c r="A24" s="5" t="inlineStr">
        <is>
          <t>RL-001 (realistic)</t>
        </is>
      </c>
      <c r="B24" s="5" t="inlineStr">
        <is>
          <t>2026-10-02</t>
        </is>
      </c>
      <c r="C24" s="5" t="inlineStr">
        <is>
          <t>Benchmark-to-reality — Spider-Realistic (reproduction point)</t>
        </is>
      </c>
      <c r="D24" s="5" t="inlineStr">
        <is>
          <t>seeklhy/codes-1b-spider</t>
        </is>
      </c>
      <c r="E24" s="5" t="inlineStr">
        <is>
          <t>Spider-Realistic (508), HF aherntech/spider-realistic</t>
        </is>
      </c>
      <c r="F24" s="5" t="n">
        <v>42</v>
      </c>
      <c r="G24" s="5" t="inlineStr">
        <is>
          <t>EX (official exec match)</t>
        </is>
      </c>
      <c r="H24" s="5" t="n">
        <v>69.5</v>
      </c>
      <c r="I24" s="5" t="n">
        <v>70.90000000000001</v>
      </c>
      <c r="J24" s="6">
        <f>IF(AND(ISNUMBER(H24),ISNUMBER(I24),I24&lt;&gt;0),(H24-I24)/I24*100,"")</f>
        <v/>
      </c>
      <c r="K24" s="5">
        <f>IF(ISNUMBER(J24),IF(ABS(J24)&lt;=10,"YES","NO — document cause"),"")</f>
        <v/>
      </c>
      <c r="L24" s="5" t="n">
        <v>11637</v>
      </c>
      <c r="M24" s="5" t="inlineStr">
        <is>
          <t>Apple M4 (mps, bf16)</t>
        </is>
      </c>
      <c r="N24" s="5" t="inlineStr">
        <is>
          <t>2.13.0</t>
        </is>
      </c>
      <c r="O24" s="5" t="inlineStr">
        <is>
          <t>5.15.0</t>
        </is>
      </c>
      <c r="P24" s="7" t="inlineStr">
        <is>
          <t>353/508. Paper value: SFT CodeS-1B, Table 7 of the CodeS paper. Gap vs original wording −3.3 pts (95% CI [0.8, 5.9]), McNemar p = 0.016. Balanced abstention: 86.2% answered, 76.7% correct. results/reality/spider_realistic_RL-001.md</t>
        </is>
      </c>
    </row>
    <row r="25">
      <c r="A25" s="5" t="inlineStr">
        <is>
          <t>CN-008 (failed)</t>
        </is>
      </c>
      <c r="B25" s="5" t="inlineStr">
        <is>
          <t>2026-10-13</t>
        </is>
      </c>
      <c r="C25" s="5" t="inlineStr">
        <is>
          <t>Review-III follow-up — CodeS-1B, 8 beams</t>
        </is>
      </c>
      <c r="D25" s="5" t="inlineStr">
        <is>
          <t>seeklhy/codes-1b-spider</t>
        </is>
      </c>
      <c r="E25" s="5" t="inlineStr">
        <is>
          <t>Spider dev (1034)</t>
        </is>
      </c>
      <c r="F25" s="5" t="n">
        <v>42</v>
      </c>
      <c r="G25" s="5" t="inlineStr">
        <is>
          <t>EX (OFFICIAL evaluation.py)</t>
        </is>
      </c>
      <c r="H25" s="5" t="n">
        <v>78.8</v>
      </c>
      <c r="I25" s="5" t="n"/>
      <c r="J25" s="6">
        <f>IF(AND(ISNUMBER(H25),ISNUMBER(I25),I25&lt;&gt;0),(H25-I25)/I25*100,"")</f>
        <v/>
      </c>
      <c r="K25" s="5">
        <f>IF(ISNUMBER(J25),IF(ABS(J25)&lt;=10,"YES","NO — document cause"),"")</f>
        <v/>
      </c>
      <c r="L25" s="5" t="inlineStr">
        <is>
          <t>not recorded</t>
        </is>
      </c>
      <c r="M25" s="5" t="inlineStr">
        <is>
          <t>Tesla T4 (Colab, fp16)</t>
        </is>
      </c>
      <c r="N25" s="5" t="inlineStr">
        <is>
          <t>Colab default</t>
        </is>
      </c>
      <c r="O25" s="5" t="inlineStr">
        <is>
          <t>Colab default</t>
        </is>
      </c>
      <c r="P25" s="7" t="inlineStr">
        <is>
          <t>Generation complete; runtime died while scoring candidates, dump lost. Official 0.788 read from output (4 beams, T2-006: 0.778). Harness now saves the raw dump first. Re-run planned.</t>
        </is>
      </c>
    </row>
    <row r="26">
      <c r="A26" s="5" t="inlineStr">
        <is>
          <t>SM-008 attempt 1 (aborted)</t>
        </is>
      </c>
      <c r="B26" s="5" t="inlineStr">
        <is>
          <t>2026-10-14</t>
        </is>
      </c>
      <c r="C26" s="5" t="inlineStr">
        <is>
          <t>Review-III follow-up — 8 sampled candidates, T=0.8</t>
        </is>
      </c>
      <c r="D26" s="5" t="inlineStr">
        <is>
          <t>seeklhy/codes-1b-spider</t>
        </is>
      </c>
      <c r="E26" s="5" t="inlineStr">
        <is>
          <t>Spider dev (1034)</t>
        </is>
      </c>
      <c r="F26" s="5" t="n">
        <v>42</v>
      </c>
      <c r="G26" s="5" t="inlineStr">
        <is>
          <t>none (aborted)</t>
        </is>
      </c>
      <c r="H26" s="5" t="n"/>
      <c r="I26" s="5" t="n"/>
      <c r="J26" s="6" t="n"/>
      <c r="K26" s="5" t="n"/>
      <c r="L26" s="5" t="inlineStr">
        <is>
          <t>~540</t>
        </is>
      </c>
      <c r="M26" s="5" t="inlineStr">
        <is>
          <t>Tesla T4 (Colab, fp16)</t>
        </is>
      </c>
      <c r="N26" s="5" t="inlineStr">
        <is>
          <t>Colab default</t>
        </is>
      </c>
      <c r="O26" s="5" t="inlineStr">
        <is>
          <t>Colab default</t>
        </is>
      </c>
      <c r="P26" s="7" t="inlineStr">
        <is>
          <t>Aborted ~9 min after start (Colab runtime disconnected at 1:51 AM; nothing saved, no metric). Probable cause: the Mac was on battery power / went to sleep overnight (battery found at 2%), which dropped the browser connection - not confirmed. Re-started 2026-10-14 20:02 on AC power.</t>
        </is>
      </c>
    </row>
    <row r="27">
      <c r="A27" s="5" t="inlineStr">
        <is>
          <t>SM-008</t>
        </is>
      </c>
      <c r="B27" s="5" t="inlineStr">
        <is>
          <t>2026-10-14</t>
        </is>
      </c>
      <c r="C27" s="5" t="inlineStr">
        <is>
          <t>Review-III follow-up — 8 sampled candidates, T=0.8</t>
        </is>
      </c>
      <c r="D27" s="5" t="inlineStr">
        <is>
          <t>seeklhy/codes-1b-spider</t>
        </is>
      </c>
      <c r="E27" s="5" t="inlineStr">
        <is>
          <t>Spider dev (1034)</t>
        </is>
      </c>
      <c r="F27" s="5" t="n">
        <v>42</v>
      </c>
      <c r="G27" s="5" t="inlineStr">
        <is>
          <t>EX (OFFICIAL exec match)</t>
        </is>
      </c>
      <c r="H27" s="5" t="n">
        <v>77.08</v>
      </c>
      <c r="I27" s="5" t="n"/>
      <c r="J27" s="6">
        <f>IF(AND(ISNUMBER(H27),ISNUMBER(I27),I27&lt;&gt;0),(H27-I27)/I27*100,"")</f>
        <v/>
      </c>
      <c r="K27" s="5">
        <f>IF(ISNUMBER(J27),IF(ABS(J27)&lt;=10,"YES","NO — document cause"),"")</f>
        <v/>
      </c>
      <c r="L27" s="5" t="inlineStr">
        <is>
          <t>~4400</t>
        </is>
      </c>
      <c r="M27" s="5" t="inlineStr">
        <is>
          <t>Tesla T4 (Colab, fp16)</t>
        </is>
      </c>
      <c r="N27" s="5" t="inlineStr">
        <is>
          <t>Colab default</t>
        </is>
      </c>
      <c r="O27" s="5" t="inlineStr">
        <is>
          <t>Colab default</t>
        </is>
      </c>
      <c r="P27" s="7" t="inlineStr">
        <is>
          <t>797/1034 (4 beams: 77.76). Majority of 8: 77.66; correct among 8: 881 (85.2%). Abstention: 82.5% correct at 90.0% coverage, +5.57 pts vs random, p=1.7e-7; all 8 agree → 93.5% correct. results/abstention_SM-008.json</t>
        </is>
      </c>
    </row>
    <row r="28">
      <c r="A28" s="5" t="inlineStr">
        <is>
          <t>AN-003</t>
        </is>
      </c>
      <c r="B28" s="5" t="inlineStr">
        <is>
          <t>2026-10-14</t>
        </is>
      </c>
      <c r="C28" s="5" t="inlineStr">
        <is>
          <t>Analysis of SM-008 — agreement v2</t>
        </is>
      </c>
      <c r="D28" s="5" t="inlineStr">
        <is>
          <t>seeklhy/codes-1b-spider</t>
        </is>
      </c>
      <c r="E28" s="5" t="inlineStr">
        <is>
          <t>Spider dev (1034)</t>
        </is>
      </c>
      <c r="F28" s="5" t="n">
        <v>42</v>
      </c>
      <c r="G28" s="5" t="inlineStr">
        <is>
          <t>selective acc (v2 share)</t>
        </is>
      </c>
      <c r="H28" s="5" t="n">
        <v>83.09999999999999</v>
      </c>
      <c r="I28" s="5" t="n"/>
      <c r="J28" s="6">
        <f>IF(AND(ISNUMBER(H28),ISNUMBER(I28),I28&lt;&gt;0),(H28-I28)/I28*100,"")</f>
        <v/>
      </c>
      <c r="K28" s="5">
        <f>IF(ISNUMBER(J28),IF(ABS(J28)&lt;=10,"YES","NO — document cause"),"")</f>
        <v/>
      </c>
      <c r="L28" s="5" t="inlineStr">
        <is>
          <t>—</t>
        </is>
      </c>
      <c r="M28" s="5" t="inlineStr">
        <is>
          <t>Apple M4 (CPU)</t>
        </is>
      </c>
      <c r="N28" s="5" t="inlineStr">
        <is>
          <t>2.13.0</t>
        </is>
      </c>
      <c r="O28" s="5" t="inlineStr">
        <is>
          <t>5.15.0</t>
        </is>
      </c>
      <c r="P28" s="7" t="inlineStr">
        <is>
          <t>v2 share +6.19 pts (p=1.5e-8) vs v1 +5.57. For sampled candidates repeats are signal; the dedupe 'count' variant is not meaningful. results/agreement_v2_SM-008.md</t>
        </is>
      </c>
    </row>
    <row r="29">
      <c r="A29" s="8" t="inlineStr">
        <is>
          <t>Repeatability (T2-003 vs T2-003r, identical config):</t>
        </is>
      </c>
      <c r="H29" s="9">
        <f>H10-H9</f>
        <v/>
      </c>
    </row>
    <row r="30">
      <c r="A30" s="8" t="inlineStr">
        <is>
          <t>Headline vs paper (T2-005, official metric), points:</t>
        </is>
      </c>
      <c r="H30" s="9">
        <f>H11-I11</f>
        <v/>
      </c>
    </row>
    <row r="31"/>
    <row r="32">
      <c r="A32" s="10" t="inlineStr">
        <is>
          <t>Reminder — "reproduction complete" means:</t>
        </is>
      </c>
    </row>
    <row r="33">
      <c r="A33" s="11" t="inlineStr">
        <is>
          <t>• Metrics land within ±5–10% of the published values (ML/AI tolerance per the SOP), OR</t>
        </is>
      </c>
    </row>
    <row r="34">
      <c r="A34" s="11" t="inlineStr">
        <is>
          <t>• The deviation is documented with a stated cause (different GPU, precision, library versions, batch size, dataset split).</t>
        </is>
      </c>
    </row>
    <row r="35">
      <c r="A35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2026-10-14T16:46:58Z</dcterms:modified>
</cp:coreProperties>
</file>