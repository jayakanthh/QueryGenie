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18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4"/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5.15.0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harness v1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 (simple metric)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 0. Simple sorted-rows metric — NOT the paper's evaluator (see harness_audit.md).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harness v1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 (simple metric)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not recorded</t>
        </is>
      </c>
      <c r="O8" s="5" t="inlineStr">
        <is>
          <t>not recorded</t>
        </is>
      </c>
      <c r="P8" s="7" t="inlineStr">
        <is>
          <t>Full CodeS prompt; beam 0. 741/1034; 93.5% executable. Simple metric; numeric-value retriever bug present.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harness v1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 (simple metric)</t>
        </is>
      </c>
      <c r="H9" s="5" t="n">
        <v>73.79000000000001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not recorded</t>
        </is>
      </c>
      <c r="O9" s="5" t="inlineStr">
        <is>
          <t>not recorded</t>
        </is>
      </c>
      <c r="P9" s="7" t="inlineStr">
        <is>
          <t>+ authors' selection rule (first of 4 beams passing EXPLAIN QUERY PLAN). 763/1034; 97.3% executable. Simple metric; retriever bug present.</t>
        </is>
      </c>
    </row>
    <row r="10" ht="30" customHeight="1">
      <c r="A10" s="5" t="inlineStr">
        <is>
          <t>T2-003r</t>
        </is>
      </c>
      <c r="B10" s="5" t="inlineStr">
        <is>
          <t>2026-09-20</t>
        </is>
      </c>
      <c r="C10" s="5" t="inlineStr">
        <is>
          <t>Tier 2 — harness v1 (repeat)</t>
        </is>
      </c>
      <c r="D10" s="5" t="inlineStr">
        <is>
          <t>seeklhy/codes-1b-spider</t>
        </is>
      </c>
      <c r="E10" s="5" t="inlineStr">
        <is>
          <t>Spider dev (1034)</t>
        </is>
      </c>
      <c r="F10" s="5" t="n">
        <v>42</v>
      </c>
      <c r="G10" s="5" t="inlineStr">
        <is>
          <t>EX (simple metric)</t>
        </is>
      </c>
      <c r="H10" s="5" t="n">
        <v>73.79000000000001</v>
      </c>
      <c r="I10" s="5" t="n">
        <v>77.90000000000001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>
        <v>2270</v>
      </c>
      <c r="M10" s="5" t="inlineStr">
        <is>
          <t>Tesla T4 (Colab, fp16)</t>
        </is>
      </c>
      <c r="N10" s="5" t="inlineStr">
        <is>
          <t>2.11.0+cu128</t>
        </is>
      </c>
      <c r="O10" s="5" t="inlineStr">
        <is>
          <t>5.16.1</t>
        </is>
      </c>
      <c r="P10" s="7" t="inlineStr">
        <is>
          <t>Identical repeat of T2-003: 763/1034 again — decoding is deterministic.</t>
        </is>
      </c>
    </row>
    <row r="11" ht="30" customHeight="1">
      <c r="A11" s="5" t="inlineStr">
        <is>
          <t>T2-005</t>
        </is>
      </c>
      <c r="B11" s="5" t="inlineStr">
        <is>
          <t>2026-09-26</t>
        </is>
      </c>
      <c r="C11" s="5" t="inlineStr">
        <is>
          <t>Tier 2 — harness v2 (HEADLINE)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(OFFICIAL Spider evaluator)</t>
        </is>
      </c>
      <c r="H11" s="5" t="n">
        <v>77.8</v>
      </c>
      <c r="I11" s="5" t="n">
        <v>77.90000000000001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2865</v>
      </c>
      <c r="M11" s="5" t="inlineStr">
        <is>
          <t>Tesla T4 (Colab, fp16)</t>
        </is>
      </c>
      <c r="N11" s="5" t="inlineStr">
        <is>
          <t>2.11.0+cu128</t>
        </is>
      </c>
      <c r="O11" s="5" t="inlineStr">
        <is>
          <t>5.16.1</t>
        </is>
      </c>
      <c r="P11" s="7" t="inlineStr">
        <is>
          <t>After audit: numeric values in retriever, tables.json comments, authors' truncation; scored with test_suite_sql_eval evaluation.py --etype exec (paper's metric). Simple metric on same preds = 73.4. 97.3% executable.</t>
        </is>
      </c>
    </row>
    <row r="12">
      <c r="A12" s="5" t="inlineStr">
        <is>
          <t>T2-006</t>
        </is>
      </c>
      <c r="B12" s="5" t="inlineStr">
        <is>
          <t>2026-09-28</t>
        </is>
      </c>
      <c r="C12" s="5" t="inlineStr">
        <is>
          <t>Week 10 — fresh baseline (harness v2)</t>
        </is>
      </c>
      <c r="D12" s="5" t="inlineStr">
        <is>
          <t>seeklhy/codes-1b-spider</t>
        </is>
      </c>
      <c r="E12" s="5" t="inlineStr">
        <is>
          <t>Spider dev (1034)</t>
        </is>
      </c>
      <c r="F12" s="5" t="n">
        <v>42</v>
      </c>
      <c r="G12" s="5" t="inlineStr">
        <is>
          <t>EX (OFFICIAL Spider evaluator)</t>
        </is>
      </c>
      <c r="H12" s="5" t="n">
        <v>77.76000000000001</v>
      </c>
      <c r="I12" s="5" t="n">
        <v>77.90000000000001</v>
      </c>
      <c r="J12" s="6">
        <f>IF(AND(ISNUMBER(H12),ISNUMBER(I12),I12&lt;&gt;0),(H12-I12)/I12*100,"")</f>
        <v/>
      </c>
      <c r="K12" s="5">
        <f>IF(ISNUMBER(J12),IF(ABS(J12)&lt;=10,"YES","NO — document cause"),"")</f>
        <v/>
      </c>
      <c r="L12" s="5" t="inlineStr">
        <is>
          <t>not reported</t>
        </is>
      </c>
      <c r="M12" s="5" t="inlineStr">
        <is>
          <t>Tesla T4 (Colab, fp16)</t>
        </is>
      </c>
      <c r="N12" s="5" t="inlineStr">
        <is>
          <t>2.11.0+cu128</t>
        </is>
      </c>
      <c r="O12" s="5" t="inlineStr">
        <is>
          <t>5.16.1</t>
        </is>
      </c>
      <c r="P12" s="7" t="inlineStr">
        <is>
          <t>Fresh re-run of T2-005: 804/1034 official (identical); simple 759/1034 identical. Baseline for the Month-3 enhancement; candidate dump saved.</t>
        </is>
      </c>
    </row>
    <row r="13">
      <c r="A13" s="5" t="inlineStr">
        <is>
          <t>T2-004</t>
        </is>
      </c>
      <c r="B13" s="5" t="inlineStr">
        <is>
          <t>2026-10-12</t>
        </is>
      </c>
      <c r="C13" s="5" t="inlineStr">
        <is>
          <t>Tier 2 — CodeS-3B (Review-III follow-up)</t>
        </is>
      </c>
      <c r="D13" s="5" t="inlineStr">
        <is>
          <t>seeklhy/codes-3b-spider</t>
        </is>
      </c>
      <c r="E13" s="5" t="inlineStr">
        <is>
          <t>Spider dev (1034)</t>
        </is>
      </c>
      <c r="F13" s="5" t="n">
        <v>42</v>
      </c>
      <c r="G13" s="5" t="inlineStr">
        <is>
          <t>EX (OFFICIAL Spider evaluator)</t>
        </is>
      </c>
      <c r="H13" s="5" t="n">
        <v>81.81999999999999</v>
      </c>
      <c r="I13" s="5" t="n">
        <v>83.40000000000001</v>
      </c>
      <c r="J13" s="6">
        <f>IF(AND(ISNUMBER(H13),ISNUMBER(I13),I13&lt;&gt;0),(H13-I13)/I13*100,"")</f>
        <v/>
      </c>
      <c r="K13" s="5">
        <f>IF(ISNUMBER(J13),IF(ABS(J13)&lt;=10,"YES","NO — document cause"),"")</f>
        <v/>
      </c>
      <c r="L13" s="5" t="inlineStr">
        <is>
          <t>not recorded</t>
        </is>
      </c>
      <c r="M13" s="5" t="inlineStr">
        <is>
          <t>Tesla T4 (Colab, fp16)</t>
        </is>
      </c>
      <c r="N13" s="5" t="inlineStr">
        <is>
          <t>Colab default</t>
        </is>
      </c>
      <c r="O13" s="5" t="inlineStr">
        <is>
          <t>Colab default</t>
        </is>
      </c>
      <c r="P13" s="7" t="inlineStr">
        <is>
          <t>846/1034. Paper: Table 5, SFT CodeS-3B. Abstention: 85.2% correct at 89.7% coverage (+3.2 pts, p=2.9e-6); v2 (different queries only) +3.95 pts. results/abstention_T2-004.json, results/agreement_v2_T2-004.md</t>
        </is>
      </c>
    </row>
    <row r="14">
      <c r="A14" s="5" t="inlineStr">
        <is>
          <t>AB-003</t>
        </is>
      </c>
      <c r="B14" s="5" t="inlineStr">
        <is>
          <t>2026-09-20</t>
        </is>
      </c>
      <c r="C14" s="5" t="inlineStr">
        <is>
          <t>Week 7 ablation — harness v1</t>
        </is>
      </c>
      <c r="D14" s="5" t="inlineStr">
        <is>
          <t>seeklhy/codes-1b-spider</t>
        </is>
      </c>
      <c r="E14" s="5" t="inlineStr">
        <is>
          <t>Spider dev (1034)</t>
        </is>
      </c>
      <c r="F14" s="5" t="n">
        <v>42</v>
      </c>
      <c r="G14" s="5" t="inlineStr">
        <is>
          <t>EX simple — no representative values</t>
        </is>
      </c>
      <c r="H14" s="5" t="n">
        <v>72.23999999999999</v>
      </c>
      <c r="I14" s="5" t="n">
        <v>73.79000000000001</v>
      </c>
      <c r="J14" s="6">
        <f>IF(AND(ISNUMBER(H14),ISNUMBER(I14),I14&lt;&gt;0),(H14-I14)/I14*100,"")</f>
        <v/>
      </c>
      <c r="K14" s="5">
        <f>IF(ISNUMBER(J14),IF(ABS(J14)&lt;=10,"YES","NO — document cause"),"")</f>
        <v/>
      </c>
      <c r="L14" s="5" t="n">
        <v>1652</v>
      </c>
      <c r="M14" s="5" t="inlineStr">
        <is>
          <t>Tesla T4 (Colab, fp16)</t>
        </is>
      </c>
      <c r="N14" s="5" t="inlineStr">
        <is>
          <t>2.11.0+cu128</t>
        </is>
      </c>
      <c r="O14" s="5" t="inlineStr">
        <is>
          <t>5.16.1</t>
        </is>
      </c>
      <c r="P14" s="7" t="inlineStr">
        <is>
          <t>Paper Value column = our baseline T2-003 (not the paper). 747/1034; 97.8% executable. Δ −1.55.</t>
        </is>
      </c>
    </row>
    <row r="15">
      <c r="A15" s="5" t="inlineStr">
        <is>
          <t>AB-004</t>
        </is>
      </c>
      <c r="B15" s="5" t="inlineStr">
        <is>
          <t>2026-09-20</t>
        </is>
      </c>
      <c r="C15" s="5" t="inlineStr">
        <is>
          <t>Week 7 ablation — harness v1</t>
        </is>
      </c>
      <c r="D15" s="5" t="inlineStr">
        <is>
          <t>seeklhy/codes-1b-spider</t>
        </is>
      </c>
      <c r="E15" s="5" t="inlineStr">
        <is>
          <t>Spider dev (1034)</t>
        </is>
      </c>
      <c r="F15" s="5" t="n">
        <v>42</v>
      </c>
      <c r="G15" s="5" t="inlineStr">
        <is>
          <t>EX simple — no matched contents</t>
        </is>
      </c>
      <c r="H15" s="5" t="n">
        <v>71.08</v>
      </c>
      <c r="I15" s="5" t="n">
        <v>73.79000000000001</v>
      </c>
      <c r="J15" s="6">
        <f>IF(AND(ISNUMBER(H15),ISNUMBER(I15),I15&lt;&gt;0),(H15-I15)/I15*100,"")</f>
        <v/>
      </c>
      <c r="K15" s="5">
        <f>IF(ISNUMBER(J15),IF(ABS(J15)&lt;=10,"YES","NO — document cause"),"")</f>
        <v/>
      </c>
      <c r="L15" s="5" t="n">
        <v>2234</v>
      </c>
      <c r="M15" s="5" t="inlineStr">
        <is>
          <t>Tesla T4 (Colab, fp16)</t>
        </is>
      </c>
      <c r="N15" s="5" t="inlineStr">
        <is>
          <t>2.11.0+cu128</t>
        </is>
      </c>
      <c r="O15" s="5" t="inlineStr">
        <is>
          <t>5.16.1</t>
        </is>
      </c>
      <c r="P15" s="7" t="inlineStr">
        <is>
          <t>Baseline T2-003. 735/1034; 96.8% executable. Δ −2.71 (largest).</t>
        </is>
      </c>
    </row>
    <row r="16">
      <c r="A16" s="5" t="inlineStr">
        <is>
          <t>AB-005</t>
        </is>
      </c>
      <c r="B16" s="5" t="inlineStr">
        <is>
          <t>2026-09-22</t>
        </is>
      </c>
      <c r="C16" s="5" t="inlineStr">
        <is>
          <t>Week 7 ablation — harness v1</t>
        </is>
      </c>
      <c r="D16" s="5" t="inlineStr">
        <is>
          <t>seeklhy/codes-1b-spider</t>
        </is>
      </c>
      <c r="E16" s="5" t="inlineStr">
        <is>
          <t>Spider dev (1034)</t>
        </is>
      </c>
      <c r="F16" s="5" t="n">
        <v>42</v>
      </c>
      <c r="G16" s="5" t="inlineStr">
        <is>
          <t>EX simple — no foreign keys</t>
        </is>
      </c>
      <c r="H16" s="5" t="n">
        <v>72.23999999999999</v>
      </c>
      <c r="I16" s="5" t="n">
        <v>73.79000000000001</v>
      </c>
      <c r="J16" s="6">
        <f>IF(AND(ISNUMBER(H16),ISNUMBER(I16),I16&lt;&gt;0),(H16-I16)/I16*100,"")</f>
        <v/>
      </c>
      <c r="K16" s="5">
        <f>IF(ISNUMBER(J16),IF(ABS(J16)&lt;=10,"YES","NO — document cause"),"")</f>
        <v/>
      </c>
      <c r="L16" s="5" t="n">
        <v>2062</v>
      </c>
      <c r="M16" s="5" t="inlineStr">
        <is>
          <t>Tesla T4 (Colab, fp16)</t>
        </is>
      </c>
      <c r="N16" s="5" t="inlineStr">
        <is>
          <t>2.11.0+cu128</t>
        </is>
      </c>
      <c r="O16" s="5" t="inlineStr">
        <is>
          <t>5.16.1</t>
        </is>
      </c>
      <c r="P16" s="7" t="inlineStr">
        <is>
          <t>Baseline T2-003. 747/1034; 95.5% executable. Δ −1.55.</t>
        </is>
      </c>
    </row>
    <row r="17">
      <c r="A17" s="5" t="inlineStr">
        <is>
          <t>AB-006</t>
        </is>
      </c>
      <c r="B17" s="5" t="inlineStr">
        <is>
          <t>2026-09-22</t>
        </is>
      </c>
      <c r="C17" s="5" t="inlineStr">
        <is>
          <t>Week 7 ablation — harness v1</t>
        </is>
      </c>
      <c r="D17" s="5" t="inlineStr">
        <is>
          <t>seeklhy/codes-1b-spider</t>
        </is>
      </c>
      <c r="E17" s="5" t="inlineStr">
        <is>
          <t>Spider dev (1034)</t>
        </is>
      </c>
      <c r="F17" s="5" t="n">
        <v>42</v>
      </c>
      <c r="G17" s="5" t="inlineStr">
        <is>
          <t>EX simple — no candidate selection</t>
        </is>
      </c>
      <c r="H17" s="5" t="n">
        <v>71.66</v>
      </c>
      <c r="I17" s="5" t="n">
        <v>73.79000000000001</v>
      </c>
      <c r="J17" s="6">
        <f>IF(AND(ISNUMBER(H17),ISNUMBER(I17),I17&lt;&gt;0),(H17-I17)/I17*100,"")</f>
        <v/>
      </c>
      <c r="K17" s="5">
        <f>IF(ISNUMBER(J17),IF(ABS(J17)&lt;=10,"YES","NO — document cause"),"")</f>
        <v/>
      </c>
      <c r="L17" s="5" t="n">
        <v>2265</v>
      </c>
      <c r="M17" s="5" t="inlineStr">
        <is>
          <t>Tesla T4 (Colab, fp16)</t>
        </is>
      </c>
      <c r="N17" s="5" t="inlineStr">
        <is>
          <t>2.11.0+cu128</t>
        </is>
      </c>
      <c r="O17" s="5" t="inlineStr">
        <is>
          <t>5.16.1</t>
        </is>
      </c>
      <c r="P17" s="7" t="inlineStr">
        <is>
          <t>Baseline T2-003. 741/1034 — identical to T2-002. 93.5% executable. Δ −2.13.</t>
        </is>
      </c>
    </row>
    <row r="18">
      <c r="A18" s="5" t="inlineStr">
        <is>
          <t>AB-103</t>
        </is>
      </c>
      <c r="B18" s="5" t="inlineStr">
        <is>
          <t>2026-09-28</t>
        </is>
      </c>
      <c r="C18" s="5" t="inlineStr">
        <is>
          <t>Week 7 ablation — harness v2</t>
        </is>
      </c>
      <c r="D18" s="5" t="inlineStr">
        <is>
          <t>seeklhy/codes-1b-spider</t>
        </is>
      </c>
      <c r="E18" s="5" t="inlineStr">
        <is>
          <t>Spider dev (1034)</t>
        </is>
      </c>
      <c r="F18" s="5" t="n">
        <v>42</v>
      </c>
      <c r="G18" s="5" t="inlineStr">
        <is>
          <t>EX OFFICIAL — no representative values</t>
        </is>
      </c>
      <c r="H18" s="5" t="n">
        <v>76.40000000000001</v>
      </c>
      <c r="I18" s="5" t="n">
        <v>77.8</v>
      </c>
      <c r="J18" s="6">
        <f>IF(AND(ISNUMBER(H18),ISNUMBER(I18),I18&lt;&gt;0),(H18-I18)/I18*100,"")</f>
        <v/>
      </c>
      <c r="K18" s="5">
        <f>IF(ISNUMBER(J18),IF(ABS(J18)&lt;=10,"YES","NO — document cause"),"")</f>
        <v/>
      </c>
      <c r="L18" s="5" t="inlineStr">
        <is>
          <t>not reported</t>
        </is>
      </c>
      <c r="M18" s="5" t="inlineStr">
        <is>
          <t>Tesla T4 (Colab, fp16)</t>
        </is>
      </c>
      <c r="N18" s="5" t="inlineStr">
        <is>
          <t>2.11.0+cu128</t>
        </is>
      </c>
      <c r="O18" s="5" t="inlineStr">
        <is>
          <t>5.16.1</t>
        </is>
      </c>
      <c r="P18" s="7" t="inlineStr">
        <is>
          <t>Paper Value column = baseline T2-005 (77.8, official). Δ -1.4 pts. Simple EX 72.24 (747/1034); 98.1% executable.</t>
        </is>
      </c>
    </row>
    <row r="19">
      <c r="A19" s="5" t="inlineStr">
        <is>
          <t>AB-104</t>
        </is>
      </c>
      <c r="B19" s="5" t="inlineStr">
        <is>
          <t>2026-09-28</t>
        </is>
      </c>
      <c r="C19" s="5" t="inlineStr">
        <is>
          <t>Week 7 ablation — harness v2</t>
        </is>
      </c>
      <c r="D19" s="5" t="inlineStr">
        <is>
          <t>seeklhy/codes-1b-spider</t>
        </is>
      </c>
      <c r="E19" s="5" t="inlineStr">
        <is>
          <t>Spider dev (1034)</t>
        </is>
      </c>
      <c r="F19" s="5" t="n">
        <v>42</v>
      </c>
      <c r="G19" s="5" t="inlineStr">
        <is>
          <t>EX OFFICIAL — no matched contents</t>
        </is>
      </c>
      <c r="H19" s="5" t="n">
        <v>75.90000000000001</v>
      </c>
      <c r="I19" s="5" t="n">
        <v>77.8</v>
      </c>
      <c r="J19" s="6">
        <f>IF(AND(ISNUMBER(H19),ISNUMBER(I19),I19&lt;&gt;0),(H19-I19)/I19*100,"")</f>
        <v/>
      </c>
      <c r="K19" s="5">
        <f>IF(ISNUMBER(J19),IF(ABS(J19)&lt;=10,"YES","NO — document cause"),"")</f>
        <v/>
      </c>
      <c r="L19" s="5" t="inlineStr">
        <is>
          <t>not reported</t>
        </is>
      </c>
      <c r="M19" s="5" t="inlineStr">
        <is>
          <t>Tesla T4 (Colab, fp16)</t>
        </is>
      </c>
      <c r="N19" s="5" t="inlineStr">
        <is>
          <t>2.11.0+cu128</t>
        </is>
      </c>
      <c r="O19" s="5" t="inlineStr">
        <is>
          <t>5.16.1</t>
        </is>
      </c>
      <c r="P19" s="7" t="inlineStr">
        <is>
          <t>Paper Value column = baseline T2-005 (77.8, official). Δ -1.9 pts. Simple EX 71.57 (740/1034); 97.2% executable.</t>
        </is>
      </c>
    </row>
    <row r="20">
      <c r="A20" s="5" t="inlineStr">
        <is>
          <t>AB-105</t>
        </is>
      </c>
      <c r="B20" s="5" t="inlineStr">
        <is>
          <t>2026-09-28</t>
        </is>
      </c>
      <c r="C20" s="5" t="inlineStr">
        <is>
          <t>Week 7 ablation — harness v2</t>
        </is>
      </c>
      <c r="D20" s="5" t="inlineStr">
        <is>
          <t>seeklhy/codes-1b-spider</t>
        </is>
      </c>
      <c r="E20" s="5" t="inlineStr">
        <is>
          <t>Spider dev (1034)</t>
        </is>
      </c>
      <c r="F20" s="5" t="n">
        <v>42</v>
      </c>
      <c r="G20" s="5" t="inlineStr">
        <is>
          <t>EX OFFICIAL — no foreign keys</t>
        </is>
      </c>
      <c r="H20" s="5" t="n">
        <v>76.90000000000001</v>
      </c>
      <c r="I20" s="5" t="n">
        <v>77.8</v>
      </c>
      <c r="J20" s="6">
        <f>IF(AND(ISNUMBER(H20),ISNUMBER(I20),I20&lt;&gt;0),(H20-I20)/I20*100,"")</f>
        <v/>
      </c>
      <c r="K20" s="5">
        <f>IF(ISNUMBER(J20),IF(ABS(J20)&lt;=10,"YES","NO — document cause"),"")</f>
        <v/>
      </c>
      <c r="L20" s="5" t="inlineStr">
        <is>
          <t>not reported</t>
        </is>
      </c>
      <c r="M20" s="5" t="inlineStr">
        <is>
          <t>Tesla T4 (Colab, fp16)</t>
        </is>
      </c>
      <c r="N20" s="5" t="inlineStr">
        <is>
          <t>2.11.0+cu128</t>
        </is>
      </c>
      <c r="O20" s="5" t="inlineStr">
        <is>
          <t>5.16.1</t>
        </is>
      </c>
      <c r="P20" s="7" t="inlineStr">
        <is>
          <t>Paper Value column = baseline T2-005 (77.8, official). Δ -0.9 pts. Simple EX 72.34 (748/1034); 95.9% executable.</t>
        </is>
      </c>
    </row>
    <row r="21">
      <c r="A21" s="5" t="inlineStr">
        <is>
          <t>AB-106</t>
        </is>
      </c>
      <c r="B21" s="5" t="inlineStr">
        <is>
          <t>2026-09-28</t>
        </is>
      </c>
      <c r="C21" s="5" t="inlineStr">
        <is>
          <t>Week 7 ablation — harness v2</t>
        </is>
      </c>
      <c r="D21" s="5" t="inlineStr">
        <is>
          <t>seeklhy/codes-1b-spider</t>
        </is>
      </c>
      <c r="E21" s="5" t="inlineStr">
        <is>
          <t>Spider dev (1034)</t>
        </is>
      </c>
      <c r="F21" s="5" t="n">
        <v>42</v>
      </c>
      <c r="G21" s="5" t="inlineStr">
        <is>
          <t>EX OFFICIAL — no candidate selection</t>
        </is>
      </c>
      <c r="H21" s="5" t="n">
        <v>76</v>
      </c>
      <c r="I21" s="5" t="n">
        <v>77.8</v>
      </c>
      <c r="J21" s="6">
        <f>IF(AND(ISNUMBER(H21),ISNUMBER(I21),I21&lt;&gt;0),(H21-I21)/I21*100,"")</f>
        <v/>
      </c>
      <c r="K21" s="5">
        <f>IF(ISNUMBER(J21),IF(ABS(J21)&lt;=10,"YES","NO — document cause"),"")</f>
        <v/>
      </c>
      <c r="L21" s="5" t="inlineStr">
        <is>
          <t>not reported</t>
        </is>
      </c>
      <c r="M21" s="5" t="inlineStr">
        <is>
          <t>Tesla T4 (Colab, fp16)</t>
        </is>
      </c>
      <c r="N21" s="5" t="inlineStr">
        <is>
          <t>2.11.0+cu128</t>
        </is>
      </c>
      <c r="O21" s="5" t="inlineStr">
        <is>
          <t>5.16.1</t>
        </is>
      </c>
      <c r="P21" s="7" t="inlineStr">
        <is>
          <t>Paper Value column = baseline T2-005 (77.8, official). Δ -1.8 pts. Simple EX 71.66 (741/1034); 94.1% executable.</t>
        </is>
      </c>
    </row>
    <row r="22">
      <c r="A22" s="5" t="inlineStr">
        <is>
          <t>RP-001</t>
        </is>
      </c>
      <c r="B22" s="5" t="inlineStr">
        <is>
          <t>2026-10-01</t>
        </is>
      </c>
      <c r="C22" s="5" t="inlineStr">
        <is>
          <t>App feature check — self-correction (not a reproduction run)</t>
        </is>
      </c>
      <c r="D22" s="5" t="inlineStr">
        <is>
          <t>seeklhy/codes-1b-spider</t>
        </is>
      </c>
      <c r="E22" s="5" t="inlineStr">
        <is>
          <t>Spider dev (1034)</t>
        </is>
      </c>
      <c r="F22" s="5" t="n">
        <v>42</v>
      </c>
      <c r="G22" s="5" t="inlineStr">
        <is>
          <t>EX OFFICIAL — with repair of failed candidates</t>
        </is>
      </c>
      <c r="H22" s="5" t="n">
        <v>77.84999999999999</v>
      </c>
      <c r="I22" s="5" t="n">
        <v>77.76000000000001</v>
      </c>
      <c r="J22" s="6">
        <f>IF(AND(ISNUMBER(H22),ISNUMBER(I22),I22&lt;&gt;0),(H22-I22)/I22*100,"")</f>
        <v/>
      </c>
      <c r="K22" s="5">
        <f>IF(ISNUMBER(J22),IF(ABS(J22)&lt;=10,"YES","NO — document cause"),"")</f>
        <v/>
      </c>
      <c r="L22" s="5" t="inlineStr">
        <is>
          <t>not recorded</t>
        </is>
      </c>
      <c r="M22" s="5" t="inlineStr">
        <is>
          <t>Apple M4 (mps)</t>
        </is>
      </c>
      <c r="N22" s="5" t="inlineStr">
        <is>
          <t>2.13.0</t>
        </is>
      </c>
      <c r="O22" s="5" t="inlineStr">
        <is>
          <t>5.15.0</t>
        </is>
      </c>
      <c r="P22" s="7" t="inlineStr">
        <is>
          <t>Paper Value column = baseline T2-006 (77.76, official) on the same candidates. 377 failed queries in 211 questions sent back once with their error (greedy); 61 ran after repair; +1 correct, 0 lost (804 -&gt; 805). Balanced abstention 90.43%/83.32% -&gt; 90.52%/83.23%. research/repair_eval.py; not part of the evaluated results.</t>
        </is>
      </c>
    </row>
    <row r="23">
      <c r="A23" s="5" t="inlineStr">
        <is>
          <t>RL-001 (orig)</t>
        </is>
      </c>
      <c r="B23" s="5" t="inlineStr">
        <is>
          <t>2026-10-02</t>
        </is>
      </c>
      <c r="C23" s="5" t="inlineStr">
        <is>
          <t>Benchmark-to-reality — Spider-Realistic twins, original wording</t>
        </is>
      </c>
      <c r="D23" s="5" t="inlineStr">
        <is>
          <t>seeklhy/codes-1b-spider</t>
        </is>
      </c>
      <c r="E23" s="5" t="inlineStr">
        <is>
          <t>Spider dev, 508 questions with a Spider-Realistic twin</t>
        </is>
      </c>
      <c r="F23" s="5" t="n">
        <v>42</v>
      </c>
      <c r="G23" s="5" t="inlineStr">
        <is>
          <t>EX (official exec match)</t>
        </is>
      </c>
      <c r="H23" s="5" t="n">
        <v>72.8</v>
      </c>
      <c r="I23" s="5" t="n"/>
      <c r="J23" s="6">
        <f>IF(AND(ISNUMBER(H23),ISNUMBER(I23),I23&lt;&gt;0),(H23-I23)/I23*100,"")</f>
        <v/>
      </c>
      <c r="K23" s="5">
        <f>IF(ISNUMBER(J23),IF(ABS(J23)&lt;=10,"YES","NO — document cause"),"")</f>
        <v/>
      </c>
      <c r="L23" s="5" t="n">
        <v>11637</v>
      </c>
      <c r="M23" s="5" t="inlineStr">
        <is>
          <t>Apple M4 (mps, bf16)</t>
        </is>
      </c>
      <c r="N23" s="5" t="inlineStr">
        <is>
          <t>2.13.0</t>
        </is>
      </c>
      <c r="O23" s="5" t="inlineStr">
        <is>
          <t>5.15.0</t>
        </is>
      </c>
      <c r="P23" s="7" t="inlineStr">
        <is>
          <t>370/508. No paper value for this subset. Cross-check vs T2-006 (T4, fp16) on the same 508: same selected SQL on 485, T2-006 = 73.2 (372). Runtime covers both wordings.</t>
        </is>
      </c>
    </row>
    <row r="24">
      <c r="A24" s="5" t="inlineStr">
        <is>
          <t>RL-001 (realistic)</t>
        </is>
      </c>
      <c r="B24" s="5" t="inlineStr">
        <is>
          <t>2026-10-02</t>
        </is>
      </c>
      <c r="C24" s="5" t="inlineStr">
        <is>
          <t>Benchmark-to-reality — Spider-Realistic (reproduction point)</t>
        </is>
      </c>
      <c r="D24" s="5" t="inlineStr">
        <is>
          <t>seeklhy/codes-1b-spider</t>
        </is>
      </c>
      <c r="E24" s="5" t="inlineStr">
        <is>
          <t>Spider-Realistic (508), HF aherntech/spider-realistic</t>
        </is>
      </c>
      <c r="F24" s="5" t="n">
        <v>42</v>
      </c>
      <c r="G24" s="5" t="inlineStr">
        <is>
          <t>EX (official exec match)</t>
        </is>
      </c>
      <c r="H24" s="5" t="n">
        <v>69.5</v>
      </c>
      <c r="I24" s="5" t="n">
        <v>70.90000000000001</v>
      </c>
      <c r="J24" s="6">
        <f>IF(AND(ISNUMBER(H24),ISNUMBER(I24),I24&lt;&gt;0),(H24-I24)/I24*100,"")</f>
        <v/>
      </c>
      <c r="K24" s="5">
        <f>IF(ISNUMBER(J24),IF(ABS(J24)&lt;=10,"YES","NO — document cause"),"")</f>
        <v/>
      </c>
      <c r="L24" s="5" t="n">
        <v>11637</v>
      </c>
      <c r="M24" s="5" t="inlineStr">
        <is>
          <t>Apple M4 (mps, bf16)</t>
        </is>
      </c>
      <c r="N24" s="5" t="inlineStr">
        <is>
          <t>2.13.0</t>
        </is>
      </c>
      <c r="O24" s="5" t="inlineStr">
        <is>
          <t>5.15.0</t>
        </is>
      </c>
      <c r="P24" s="7" t="inlineStr">
        <is>
          <t>353/508. Paper value: SFT CodeS-1B, Table 7 of the CodeS paper. Gap vs original wording −3.3 pts (95% CI [0.8, 5.9]), McNemar p = 0.016. Balanced abstention: 86.2% answered, 76.7% correct. results/reality/spider_realistic_RL-001.md</t>
        </is>
      </c>
    </row>
    <row r="25">
      <c r="A25" s="8" t="inlineStr">
        <is>
          <t>Repeatability (T2-003 vs T2-003r, identical config):</t>
        </is>
      </c>
      <c r="H25" s="9">
        <f>H10-H9</f>
        <v/>
      </c>
    </row>
    <row r="26">
      <c r="A26" s="8" t="inlineStr">
        <is>
          <t>Headline vs paper (T2-005, official metric), points:</t>
        </is>
      </c>
      <c r="H26" s="9">
        <f>H11-I11</f>
        <v/>
      </c>
    </row>
    <row r="28">
      <c r="A28" s="10" t="inlineStr">
        <is>
          <t>Reminder — "reproduction complete" means:</t>
        </is>
      </c>
    </row>
    <row r="29">
      <c r="A29" s="11" t="inlineStr">
        <is>
          <t>• Metrics land within ±5–10% of the published values (ML/AI tolerance per the SOP), OR</t>
        </is>
      </c>
    </row>
    <row r="30">
      <c r="A30" s="11" t="inlineStr">
        <is>
          <t>• The deviation is documented with a stated cause (different GPU, precision, library versions, batch size, dataset split).</t>
        </is>
      </c>
    </row>
    <row r="31">
      <c r="A31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 onward;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12.8 (torch 2.11.0+cu128)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2.11.0+cu128 (Colab, from T2-003r) / 2.13.0 (local)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5.16.1 (Colab, from T2-003r) / 5.15.0 (local)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>
        <is>
          <t>not used (distinct-value scan instead)</t>
        </is>
      </c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 (SFT, Spider)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14 Aug)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(T2-001..T2-005)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v2 written (26 Sep)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2026-10-12T18:20:28Z</dcterms:modified>
</cp:coreProperties>
</file>